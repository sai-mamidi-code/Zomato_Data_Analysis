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OneDrive\Desktop\SAI KUMAR\Zomato_Data_Analysis\excel\cleaned_dataset\"/>
    </mc:Choice>
  </mc:AlternateContent>
  <bookViews>
    <workbookView xWindow="0" yWindow="0" windowWidth="20490" windowHeight="7755" tabRatio="774" firstSheet="7" activeTab="10"/>
  </bookViews>
  <sheets>
    <sheet name="Zomato_cleaned_excel" sheetId="1" r:id="rId1"/>
    <sheet name="Q1 Restaurant Types" sheetId="2" r:id="rId2"/>
    <sheet name="Q2 Votes_By_Type" sheetId="3" r:id="rId3"/>
    <sheet name="Q3_Online_vs_Offline" sheetId="4" r:id="rId4"/>
    <sheet name="Q4_Rating_Distribution" sheetId="5" r:id="rId5"/>
    <sheet name="Q5_Price_Range" sheetId="6" r:id="rId6"/>
    <sheet name="Q6 Avg_Rating" sheetId="7" r:id="rId7"/>
    <sheet name="Q7 More_Online_Orders" sheetId="8" r:id="rId8"/>
    <sheet name="Q8 Top_10_Restaurants" sheetId="9" r:id="rId9"/>
    <sheet name="Q9 Customer_Engagement" sheetId="10" r:id="rId10"/>
    <sheet name="Dashboard" sheetId="11" r:id="rId11"/>
  </sheets>
  <definedNames>
    <definedName name="Slicer_listed_in_type">#N/A</definedName>
  </definedNames>
  <calcPr calcId="152511"/>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E6" i="1" l="1"/>
  <c r="E3" i="1"/>
  <c r="E4" i="1"/>
  <c r="E5"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2" i="1"/>
</calcChain>
</file>

<file path=xl/sharedStrings.xml><?xml version="1.0" encoding="utf-8"?>
<sst xmlns="http://schemas.openxmlformats.org/spreadsheetml/2006/main" count="816" uniqueCount="201">
  <si>
    <t>name</t>
  </si>
  <si>
    <t>online_order</t>
  </si>
  <si>
    <t>book_table</t>
  </si>
  <si>
    <t>rate</t>
  </si>
  <si>
    <t>votes</t>
  </si>
  <si>
    <t>approx_cost(for two people)</t>
  </si>
  <si>
    <t>listed_in(type)</t>
  </si>
  <si>
    <t>Jalsa</t>
  </si>
  <si>
    <t>Yes</t>
  </si>
  <si>
    <t>4.1/5</t>
  </si>
  <si>
    <t>Buffet</t>
  </si>
  <si>
    <t>Spice Elephant</t>
  </si>
  <si>
    <t>No</t>
  </si>
  <si>
    <t>San Churro Cafe</t>
  </si>
  <si>
    <t>3.8/5</t>
  </si>
  <si>
    <t>Addhuri Udupi Bhojana</t>
  </si>
  <si>
    <t>3.7/5</t>
  </si>
  <si>
    <t>Grand Village</t>
  </si>
  <si>
    <t>Timepass Dinner</t>
  </si>
  <si>
    <t>Rosewood International Hotel - Bar &amp; Restaurant</t>
  </si>
  <si>
    <t>3.6/5</t>
  </si>
  <si>
    <t>Onesta</t>
  </si>
  <si>
    <t>4.6/5</t>
  </si>
  <si>
    <t>Cafes</t>
  </si>
  <si>
    <t>Penthouse Cafe</t>
  </si>
  <si>
    <t>4.0/5</t>
  </si>
  <si>
    <t>other</t>
  </si>
  <si>
    <t>Smacznego</t>
  </si>
  <si>
    <t>4.2/5</t>
  </si>
  <si>
    <t>Village CafÃ©</t>
  </si>
  <si>
    <t>Cafe Shuffle</t>
  </si>
  <si>
    <t>The Coffee Shack</t>
  </si>
  <si>
    <t>Caf-Eleven</t>
  </si>
  <si>
    <t>Cafe Vivacity</t>
  </si>
  <si>
    <t>Catch-up-ino</t>
  </si>
  <si>
    <t>3.9/5</t>
  </si>
  <si>
    <t>Kirthi's Biryani</t>
  </si>
  <si>
    <t>T3H Cafe</t>
  </si>
  <si>
    <t>360 Atoms Restaurant And Cafe</t>
  </si>
  <si>
    <t>3.1/5</t>
  </si>
  <si>
    <t>The Vintage Cafe</t>
  </si>
  <si>
    <t>3.0/5</t>
  </si>
  <si>
    <t>Woodee Pizza</t>
  </si>
  <si>
    <t>Cafe Coffee Day</t>
  </si>
  <si>
    <t>My Tea House</t>
  </si>
  <si>
    <t>Hide Out Cafe</t>
  </si>
  <si>
    <t>CAFE NOVA</t>
  </si>
  <si>
    <t>3.2/5</t>
  </si>
  <si>
    <t>Coffee Tindi</t>
  </si>
  <si>
    <t>Sea Green Cafe</t>
  </si>
  <si>
    <t>3.3/5</t>
  </si>
  <si>
    <t>Cuppa</t>
  </si>
  <si>
    <t>Srinathji's Cafe</t>
  </si>
  <si>
    <t>Redberrys</t>
  </si>
  <si>
    <t>Foodiction</t>
  </si>
  <si>
    <t>2.8/5</t>
  </si>
  <si>
    <t>Sweet Truth</t>
  </si>
  <si>
    <t>Dining</t>
  </si>
  <si>
    <t>Ovenstory Pizza</t>
  </si>
  <si>
    <t>Faasos</t>
  </si>
  <si>
    <t>Behrouz Biryani</t>
  </si>
  <si>
    <t>Fast And Fresh</t>
  </si>
  <si>
    <t>Szechuan Dragon</t>
  </si>
  <si>
    <t>Empire Restaurant</t>
  </si>
  <si>
    <t>4.4/5</t>
  </si>
  <si>
    <t>Maruthi Davangere Benne Dosa</t>
  </si>
  <si>
    <t>Chaatimes</t>
  </si>
  <si>
    <t>Havyaka Mess</t>
  </si>
  <si>
    <t>McDonald's</t>
  </si>
  <si>
    <t>Domino's Pizza</t>
  </si>
  <si>
    <t>Hotboxit</t>
  </si>
  <si>
    <t>Kitchen Garden</t>
  </si>
  <si>
    <t>Recipe</t>
  </si>
  <si>
    <t>Beijing Bites</t>
  </si>
  <si>
    <t>Tasty Bytes</t>
  </si>
  <si>
    <t>Petoo</t>
  </si>
  <si>
    <t>Shree Cool Point</t>
  </si>
  <si>
    <t>Corner House Ice Cream</t>
  </si>
  <si>
    <t>4.3/5</t>
  </si>
  <si>
    <t>Biryanis And More</t>
  </si>
  <si>
    <t>Roving Feast</t>
  </si>
  <si>
    <t>FreshMenu</t>
  </si>
  <si>
    <t>Banashankari Donne Biriyani</t>
  </si>
  <si>
    <t>Wamama</t>
  </si>
  <si>
    <t>Five Star Chicken</t>
  </si>
  <si>
    <t>XO Belgian Waffle</t>
  </si>
  <si>
    <t>Peppy Peppers</t>
  </si>
  <si>
    <t>Goa 0 Km</t>
  </si>
  <si>
    <t>Chinese Kitchen</t>
  </si>
  <si>
    <t>Jeet Restaurant</t>
  </si>
  <si>
    <t>Cake of the Day</t>
  </si>
  <si>
    <t>Kabab Magic</t>
  </si>
  <si>
    <t>Namma Brahmin's Idli</t>
  </si>
  <si>
    <t>Gustoes Beer House</t>
  </si>
  <si>
    <t>Sugar Rush</t>
  </si>
  <si>
    <t>Burger King</t>
  </si>
  <si>
    <t>The Good Bowl</t>
  </si>
  <si>
    <t>The Biryani Cafe</t>
  </si>
  <si>
    <t>Spicy Tandoor</t>
  </si>
  <si>
    <t>LSD Cafe</t>
  </si>
  <si>
    <t>2.9/5</t>
  </si>
  <si>
    <t>Rolls On Wheels</t>
  </si>
  <si>
    <t>Om Sri Vinayaka Chats</t>
  </si>
  <si>
    <t>Sri Guru Kottureshwara Davangere Benne Dosa</t>
  </si>
  <si>
    <t>Devanna Dum Biriyani Centre</t>
  </si>
  <si>
    <t>Kolbeh</t>
  </si>
  <si>
    <t>Upahar Sagar</t>
  </si>
  <si>
    <t>Kadalu Sea Food Restaurant</t>
  </si>
  <si>
    <t>Frozen Bottle</t>
  </si>
  <si>
    <t>Parimala Sweets</t>
  </si>
  <si>
    <t>3.5/5</t>
  </si>
  <si>
    <t>Vaishali Deluxe</t>
  </si>
  <si>
    <t>Chill Out</t>
  </si>
  <si>
    <t>The Big O Bakes</t>
  </si>
  <si>
    <t>Meghana Foods</t>
  </si>
  <si>
    <t>Krishna Sagar</t>
  </si>
  <si>
    <t>Dessert Rose</t>
  </si>
  <si>
    <t>Chickpet Donne Biryani House</t>
  </si>
  <si>
    <t>Me And My Cake</t>
  </si>
  <si>
    <t>Sunsadm</t>
  </si>
  <si>
    <t>Annapooraneshwari Mess</t>
  </si>
  <si>
    <t>Thanco's Natural Ice Creams</t>
  </si>
  <si>
    <t>Nandhini Deluxe</t>
  </si>
  <si>
    <t>2.6/5</t>
  </si>
  <si>
    <t>Vi Ra's Bar and Restaurant</t>
  </si>
  <si>
    <t>Kaggis</t>
  </si>
  <si>
    <t>Ayda Persian Kitchen</t>
  </si>
  <si>
    <t>Chatar Patar</t>
  </si>
  <si>
    <t>Polar Bear</t>
  </si>
  <si>
    <t>Kidambi's Kitchen</t>
  </si>
  <si>
    <t>Mane Thindi</t>
  </si>
  <si>
    <t>Kotian Karavali Restaurant</t>
  </si>
  <si>
    <t>Floured-Baked With Love</t>
  </si>
  <si>
    <t>3.8 /5</t>
  </si>
  <si>
    <t>Cakes &amp; Slices</t>
  </si>
  <si>
    <t>Spice 9</t>
  </si>
  <si>
    <t>3.4/5</t>
  </si>
  <si>
    <t>Coffee Shopee</t>
  </si>
  <si>
    <t>Naveen Kabab &amp; Biriyani Mane</t>
  </si>
  <si>
    <t>Katriguppe Donne Biryani</t>
  </si>
  <si>
    <t>Hari Super Sandwich</t>
  </si>
  <si>
    <t>Atithi Point Ande Ka Funda</t>
  </si>
  <si>
    <t>Just Bake</t>
  </si>
  <si>
    <t>Dharwad Line Bazaar Mishra Pedha</t>
  </si>
  <si>
    <t>Cake Bite</t>
  </si>
  <si>
    <t>Aarush's Food Plaza</t>
  </si>
  <si>
    <t>Wood Stove</t>
  </si>
  <si>
    <t>Kulfi &amp; More</t>
  </si>
  <si>
    <t>Kannadigas Karavali</t>
  </si>
  <si>
    <t>K27 - The Pub</t>
  </si>
  <si>
    <t>Bengaluru Coffee House</t>
  </si>
  <si>
    <t>New Mangalore Lunch Home</t>
  </si>
  <si>
    <t>Coffee Bytes</t>
  </si>
  <si>
    <t>Parjanya Chat Zone</t>
  </si>
  <si>
    <t>Kwality Wall's Swirl's Happiness Station</t>
  </si>
  <si>
    <t>Soms Kitchen &amp; Bakes</t>
  </si>
  <si>
    <t>Banashankari Nati Style</t>
  </si>
  <si>
    <t>Ruchi Maayaka</t>
  </si>
  <si>
    <t>Mohitesh Hut Roll</t>
  </si>
  <si>
    <t>Sri Basaveshwar Jolada Rotti Oota</t>
  </si>
  <si>
    <t>Roll Magic Fast Food</t>
  </si>
  <si>
    <t>Foodlieious Multi Cuisine</t>
  </si>
  <si>
    <t>Thanishka Nati And Karavali Style</t>
  </si>
  <si>
    <t>Swathi Cool Point</t>
  </si>
  <si>
    <t>Kaumudis Juoice</t>
  </si>
  <si>
    <t>Amma - Manae</t>
  </si>
  <si>
    <t>Sri Sai Tiffannies</t>
  </si>
  <si>
    <t>Hotel Andhra Speices</t>
  </si>
  <si>
    <t>Sri Murari Family Restaurant</t>
  </si>
  <si>
    <t>Aramane Donne Biriyani</t>
  </si>
  <si>
    <t>Darkolates</t>
  </si>
  <si>
    <t>Swaada Healthy Kitchen</t>
  </si>
  <si>
    <t>Gawdaru Mane Beriyani</t>
  </si>
  <si>
    <t>Melting Melodies</t>
  </si>
  <si>
    <t>New Indraprasta</t>
  </si>
  <si>
    <t>Anna Kuteera</t>
  </si>
  <si>
    <t>Darbar</t>
  </si>
  <si>
    <t>Vijayalakshmi</t>
  </si>
  <si>
    <t>rate_cleaned</t>
  </si>
  <si>
    <t>Row Labels</t>
  </si>
  <si>
    <t>Grand Total</t>
  </si>
  <si>
    <t>Count of name</t>
  </si>
  <si>
    <t>Sum of votes</t>
  </si>
  <si>
    <t>Average of rate_cleaned</t>
  </si>
  <si>
    <t>Count of rate_cleaned</t>
  </si>
  <si>
    <t>Count of approx_cost(for two people)</t>
  </si>
  <si>
    <t>Q1 What types of restaurants are present in the dataset, and which type is most common?</t>
  </si>
  <si>
    <t>Q2 Which Restaurant Type Gets the Most Votes?</t>
  </si>
  <si>
    <t>Q3: How many restaurants provide online ordering?</t>
  </si>
  <si>
    <t>Q4  What is the distribution of restaurant ratings?</t>
  </si>
  <si>
    <t>Q5 What price range is most common for two people?</t>
  </si>
  <si>
    <t>Q6 Do online-order restaurants have better ratings?</t>
  </si>
  <si>
    <t>Q7 Which restaurant type has more online orders?</t>
  </si>
  <si>
    <t>Q8 Which restaurants have the highest votes?</t>
  </si>
  <si>
    <t>Q9 What are the most popular restaurant types based on customer engagement?</t>
  </si>
  <si>
    <t>Exploring Restaurant Trends, Customer Engagement &amp; Ordering Patterns</t>
  </si>
  <si>
    <t>MOST COMMON PRICE FOR TWO                            ₹300</t>
  </si>
  <si>
    <t>TOTAL RESTAURANTS                                 148</t>
  </si>
  <si>
    <t>TOTAL VOTES                                            39,192</t>
  </si>
  <si>
    <t>AVERAGE RATING                                       3.63</t>
  </si>
  <si>
    <t>ZOMATO RESTAURANT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</si>
</sst>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b/>
      <sz val="12"/>
      <color theme="1"/>
      <name val="Calibri"/>
      <family val="2"/>
      <scheme val="minor"/>
    </font>
    <font>
      <b/>
      <sz val="22"/>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vertical="center"/>
    </xf>
    <xf numFmtId="0" fontId="16" fillId="0" borderId="0" xfId="0" applyFont="1"/>
    <xf numFmtId="0" fontId="0" fillId="33" borderId="0" xfId="0" applyFill="1"/>
    <xf numFmtId="164" fontId="0" fillId="0" borderId="0" xfId="0" applyNumberFormat="1"/>
    <xf numFmtId="0" fontId="19" fillId="38" borderId="0" xfId="0" applyFont="1" applyFill="1" applyAlignment="1">
      <alignment horizontal="center" vertical="center" wrapText="1"/>
    </xf>
    <xf numFmtId="0" fontId="19" fillId="39" borderId="0" xfId="0" applyFont="1" applyFill="1" applyAlignment="1">
      <alignment horizontal="center" vertical="center" wrapText="1"/>
    </xf>
    <xf numFmtId="0" fontId="20" fillId="34" borderId="0" xfId="0" applyFont="1" applyFill="1" applyAlignment="1">
      <alignment horizontal="center" vertical="center"/>
    </xf>
    <xf numFmtId="0" fontId="17" fillId="34" borderId="0" xfId="0" applyFont="1" applyFill="1" applyAlignment="1">
      <alignment horizontal="center" vertical="center"/>
    </xf>
    <xf numFmtId="0" fontId="16" fillId="35" borderId="0" xfId="0" applyFont="1" applyFill="1" applyAlignment="1">
      <alignment horizontal="center" vertical="center"/>
    </xf>
    <xf numFmtId="0" fontId="0" fillId="33" borderId="0" xfId="0" applyFill="1" applyAlignment="1">
      <alignment horizontal="center"/>
    </xf>
    <xf numFmtId="0" fontId="19" fillId="37" borderId="0" xfId="0" applyFont="1" applyFill="1" applyAlignment="1">
      <alignment horizontal="center" vertical="center" wrapText="1"/>
    </xf>
    <xf numFmtId="0" fontId="19" fillId="36"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[Zomato_cleaned_excel.xlsx]Q1 Restaurant Types!PivotTable1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Number</a:t>
            </a:r>
            <a:r>
              <a:rPr lang="en-US" b="1" baseline="0"/>
              <a:t> of </a:t>
            </a:r>
            <a:r>
              <a:rPr lang="en-US" b="1"/>
              <a:t>Restaurants by Types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Restaurant Types'!$B$2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 Restaurant Types'!$A$3:$A$7</c:f>
              <c:strCache>
                <c:ptCount val="4"/>
                <c:pt idx="0">
                  <c:v>Dining</c:v>
                </c:pt>
                <c:pt idx="1">
                  <c:v>Cafes</c:v>
                </c:pt>
                <c:pt idx="2">
                  <c:v>other</c:v>
                </c:pt>
                <c:pt idx="3">
                  <c:v>Buffet</c:v>
                </c:pt>
              </c:strCache>
            </c:strRef>
          </c:cat>
          <c:val>
            <c:numRef>
              <c:f>'Q1 Restaurant Types'!$B$3:$B$7</c:f>
              <c:numCache>
                <c:formatCode>General</c:formatCode>
                <c:ptCount val="4"/>
                <c:pt idx="0">
                  <c:v>110</c:v>
                </c:pt>
                <c:pt idx="1">
                  <c:v>23</c:v>
                </c:pt>
                <c:pt idx="2">
                  <c:v>8</c:v>
                </c:pt>
                <c:pt idx="3">
                  <c:v>7</c:v>
                </c:pt>
              </c:numCache>
            </c:numRef>
          </c:val>
        </c:ser>
        <c:dLbls>
          <c:dLblPos val="outEnd"/>
          <c:showLegendKey val="0"/>
          <c:showVal val="1"/>
          <c:showCatName val="0"/>
          <c:showSerName val="0"/>
          <c:showPercent val="0"/>
          <c:showBubbleSize val="0"/>
        </c:dLbls>
        <c:gapWidth val="219"/>
        <c:overlap val="-27"/>
        <c:axId val="844523280"/>
        <c:axId val="844528176"/>
      </c:barChart>
      <c:catAx>
        <c:axId val="84452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8176"/>
        <c:crosses val="autoZero"/>
        <c:auto val="1"/>
        <c:lblAlgn val="ctr"/>
        <c:lblOffset val="100"/>
        <c:noMultiLvlLbl val="0"/>
      </c:catAx>
      <c:valAx>
        <c:axId val="84452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3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[Zomato_cleaned_excel.xlsx]Q2 Votes_By_Type!PivotTable2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Votes by Restaurant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Votes_By_Type'!$B$3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Votes_By_Type'!$A$4:$A$8</c:f>
              <c:strCache>
                <c:ptCount val="4"/>
                <c:pt idx="0">
                  <c:v>Dining</c:v>
                </c:pt>
                <c:pt idx="1">
                  <c:v>other</c:v>
                </c:pt>
                <c:pt idx="2">
                  <c:v>Cafes</c:v>
                </c:pt>
                <c:pt idx="3">
                  <c:v>Buffet</c:v>
                </c:pt>
              </c:strCache>
            </c:strRef>
          </c:cat>
          <c:val>
            <c:numRef>
              <c:f>'Q2 Votes_By_Type'!$B$4:$B$8</c:f>
              <c:numCache>
                <c:formatCode>General</c:formatCode>
                <c:ptCount val="4"/>
                <c:pt idx="0">
                  <c:v>20363</c:v>
                </c:pt>
                <c:pt idx="1">
                  <c:v>9367</c:v>
                </c:pt>
                <c:pt idx="2">
                  <c:v>6434</c:v>
                </c:pt>
                <c:pt idx="3">
                  <c:v>3028</c:v>
                </c:pt>
              </c:numCache>
            </c:numRef>
          </c:val>
        </c:ser>
        <c:dLbls>
          <c:dLblPos val="outEnd"/>
          <c:showLegendKey val="0"/>
          <c:showVal val="1"/>
          <c:showCatName val="0"/>
          <c:showSerName val="0"/>
          <c:showPercent val="0"/>
          <c:showBubbleSize val="0"/>
        </c:dLbls>
        <c:gapWidth val="219"/>
        <c:overlap val="-27"/>
        <c:axId val="844519472"/>
        <c:axId val="844531440"/>
      </c:barChart>
      <c:catAx>
        <c:axId val="8445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31440"/>
        <c:crosses val="autoZero"/>
        <c:auto val="1"/>
        <c:lblAlgn val="ctr"/>
        <c:lblOffset val="100"/>
        <c:noMultiLvlLbl val="0"/>
      </c:catAx>
      <c:valAx>
        <c:axId val="84453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19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[Zomato_cleaned_excel.xlsx]Q3_Online_vs_Offline!PivotTable3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Online</a:t>
            </a:r>
            <a:r>
              <a:rPr lang="en-US" b="1" baseline="0"/>
              <a:t> Order Availability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Q3_Online_vs_Offline!$B$3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Q3_Online_vs_Offline!$A$4:$A$6</c:f>
              <c:strCache>
                <c:ptCount val="2"/>
                <c:pt idx="0">
                  <c:v>No</c:v>
                </c:pt>
                <c:pt idx="1">
                  <c:v>Yes</c:v>
                </c:pt>
              </c:strCache>
            </c:strRef>
          </c:cat>
          <c:val>
            <c:numRef>
              <c:f>Q3_Online_vs_Offline!$B$4:$B$6</c:f>
              <c:numCache>
                <c:formatCode>General</c:formatCode>
                <c:ptCount val="2"/>
                <c:pt idx="0">
                  <c:v>90</c:v>
                </c:pt>
                <c:pt idx="1">
                  <c:v>58</c:v>
                </c:pt>
              </c:numCache>
            </c:numRef>
          </c:val>
        </c:ser>
        <c:dLbls>
          <c:dLblPos val="outEnd"/>
          <c:showLegendKey val="0"/>
          <c:showVal val="1"/>
          <c:showCatName val="0"/>
          <c:showSerName val="0"/>
          <c:showPercent val="0"/>
          <c:showBubbleSize val="0"/>
        </c:dLbls>
        <c:gapWidth val="219"/>
        <c:overlap val="-27"/>
        <c:axId val="844527632"/>
        <c:axId val="844529264"/>
      </c:barChart>
      <c:catAx>
        <c:axId val="8445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9264"/>
        <c:crosses val="autoZero"/>
        <c:auto val="1"/>
        <c:lblAlgn val="ctr"/>
        <c:lblOffset val="100"/>
        <c:noMultiLvlLbl val="0"/>
      </c:catAx>
      <c:valAx>
        <c:axId val="84452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7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[Zomato_cleaned_excel.xlsx]Q4_Rating_Distribution!PivotTable4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Distribution of Restaurants Ratings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Q4_Rating_Distribution!$B$3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Q4_Rating_Distribution!$A$4:$A$23</c:f>
              <c:strCache>
                <c:ptCount val="19"/>
                <c:pt idx="0">
                  <c:v>2.6</c:v>
                </c:pt>
                <c:pt idx="1">
                  <c:v>2.8</c:v>
                </c:pt>
                <c:pt idx="2">
                  <c:v>2.9</c:v>
                </c:pt>
                <c:pt idx="3">
                  <c:v>3</c:v>
                </c:pt>
                <c:pt idx="4">
                  <c:v>3.1</c:v>
                </c:pt>
                <c:pt idx="5">
                  <c:v>3.2</c:v>
                </c:pt>
                <c:pt idx="6">
                  <c:v>3.3</c:v>
                </c:pt>
                <c:pt idx="7">
                  <c:v>3.4</c:v>
                </c:pt>
                <c:pt idx="8">
                  <c:v>3.5</c:v>
                </c:pt>
                <c:pt idx="9">
                  <c:v>3.6</c:v>
                </c:pt>
                <c:pt idx="10">
                  <c:v>3.7</c:v>
                </c:pt>
                <c:pt idx="11">
                  <c:v>3.8</c:v>
                </c:pt>
                <c:pt idx="12">
                  <c:v>3.9</c:v>
                </c:pt>
                <c:pt idx="13">
                  <c:v>4</c:v>
                </c:pt>
                <c:pt idx="14">
                  <c:v>4.1</c:v>
                </c:pt>
                <c:pt idx="15">
                  <c:v>4.2</c:v>
                </c:pt>
                <c:pt idx="16">
                  <c:v>4.3</c:v>
                </c:pt>
                <c:pt idx="17">
                  <c:v>4.4</c:v>
                </c:pt>
                <c:pt idx="18">
                  <c:v>4.6</c:v>
                </c:pt>
              </c:strCache>
            </c:strRef>
          </c:cat>
          <c:val>
            <c:numRef>
              <c:f>Q4_Rating_Distribution!$B$4:$B$23</c:f>
              <c:numCache>
                <c:formatCode>General</c:formatCode>
                <c:ptCount val="19"/>
                <c:pt idx="0">
                  <c:v>1</c:v>
                </c:pt>
                <c:pt idx="1">
                  <c:v>2</c:v>
                </c:pt>
                <c:pt idx="2">
                  <c:v>7</c:v>
                </c:pt>
                <c:pt idx="3">
                  <c:v>2</c:v>
                </c:pt>
                <c:pt idx="4">
                  <c:v>7</c:v>
                </c:pt>
                <c:pt idx="5">
                  <c:v>7</c:v>
                </c:pt>
                <c:pt idx="6">
                  <c:v>14</c:v>
                </c:pt>
                <c:pt idx="7">
                  <c:v>12</c:v>
                </c:pt>
                <c:pt idx="8">
                  <c:v>6</c:v>
                </c:pt>
                <c:pt idx="9">
                  <c:v>11</c:v>
                </c:pt>
                <c:pt idx="10">
                  <c:v>15</c:v>
                </c:pt>
                <c:pt idx="11">
                  <c:v>20</c:v>
                </c:pt>
                <c:pt idx="12">
                  <c:v>10</c:v>
                </c:pt>
                <c:pt idx="13">
                  <c:v>10</c:v>
                </c:pt>
                <c:pt idx="14">
                  <c:v>11</c:v>
                </c:pt>
                <c:pt idx="15">
                  <c:v>8</c:v>
                </c:pt>
                <c:pt idx="16">
                  <c:v>1</c:v>
                </c:pt>
                <c:pt idx="17">
                  <c:v>2</c:v>
                </c:pt>
                <c:pt idx="18">
                  <c:v>2</c:v>
                </c:pt>
              </c:numCache>
            </c:numRef>
          </c:val>
        </c:ser>
        <c:dLbls>
          <c:dLblPos val="outEnd"/>
          <c:showLegendKey val="0"/>
          <c:showVal val="1"/>
          <c:showCatName val="0"/>
          <c:showSerName val="0"/>
          <c:showPercent val="0"/>
          <c:showBubbleSize val="0"/>
        </c:dLbls>
        <c:gapWidth val="219"/>
        <c:overlap val="-27"/>
        <c:axId val="844516208"/>
        <c:axId val="844520016"/>
      </c:barChart>
      <c:catAx>
        <c:axId val="8445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0016"/>
        <c:crosses val="autoZero"/>
        <c:auto val="1"/>
        <c:lblAlgn val="ctr"/>
        <c:lblOffset val="100"/>
        <c:noMultiLvlLbl val="0"/>
      </c:catAx>
      <c:valAx>
        <c:axId val="84452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16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[Zomato_cleaned_excel.xlsx]Q5_Price_Range!PivotTable5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 Common Price Range for Two People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Q5_Price_Range!$B$3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Q5_Price_Range!$A$4:$A$22</c:f>
              <c:strCache>
                <c:ptCount val="18"/>
                <c:pt idx="0">
                  <c:v>300</c:v>
                </c:pt>
                <c:pt idx="1">
                  <c:v>200</c:v>
                </c:pt>
                <c:pt idx="2">
                  <c:v>150</c:v>
                </c:pt>
                <c:pt idx="3">
                  <c:v>400</c:v>
                </c:pt>
                <c:pt idx="4">
                  <c:v>500</c:v>
                </c:pt>
                <c:pt idx="5">
                  <c:v>600</c:v>
                </c:pt>
                <c:pt idx="6">
                  <c:v>800</c:v>
                </c:pt>
                <c:pt idx="7">
                  <c:v>100</c:v>
                </c:pt>
                <c:pt idx="8">
                  <c:v>450</c:v>
                </c:pt>
                <c:pt idx="9">
                  <c:v>250</c:v>
                </c:pt>
                <c:pt idx="10">
                  <c:v>700</c:v>
                </c:pt>
                <c:pt idx="11">
                  <c:v>550</c:v>
                </c:pt>
                <c:pt idx="12">
                  <c:v>750</c:v>
                </c:pt>
                <c:pt idx="13">
                  <c:v>350</c:v>
                </c:pt>
                <c:pt idx="14">
                  <c:v>850</c:v>
                </c:pt>
                <c:pt idx="15">
                  <c:v>900</c:v>
                </c:pt>
                <c:pt idx="16">
                  <c:v>650</c:v>
                </c:pt>
                <c:pt idx="17">
                  <c:v>950</c:v>
                </c:pt>
              </c:strCache>
            </c:strRef>
          </c:cat>
          <c:val>
            <c:numRef>
              <c:f>Q5_Price_Range!$B$4:$B$22</c:f>
              <c:numCache>
                <c:formatCode>General</c:formatCode>
                <c:ptCount val="18"/>
                <c:pt idx="0">
                  <c:v>23</c:v>
                </c:pt>
                <c:pt idx="1">
                  <c:v>16</c:v>
                </c:pt>
                <c:pt idx="2">
                  <c:v>16</c:v>
                </c:pt>
                <c:pt idx="3">
                  <c:v>15</c:v>
                </c:pt>
                <c:pt idx="4">
                  <c:v>14</c:v>
                </c:pt>
                <c:pt idx="5">
                  <c:v>13</c:v>
                </c:pt>
                <c:pt idx="6">
                  <c:v>12</c:v>
                </c:pt>
                <c:pt idx="7">
                  <c:v>6</c:v>
                </c:pt>
                <c:pt idx="8">
                  <c:v>6</c:v>
                </c:pt>
                <c:pt idx="9">
                  <c:v>6</c:v>
                </c:pt>
                <c:pt idx="10">
                  <c:v>5</c:v>
                </c:pt>
                <c:pt idx="11">
                  <c:v>3</c:v>
                </c:pt>
                <c:pt idx="12">
                  <c:v>3</c:v>
                </c:pt>
                <c:pt idx="13">
                  <c:v>3</c:v>
                </c:pt>
                <c:pt idx="14">
                  <c:v>2</c:v>
                </c:pt>
                <c:pt idx="15">
                  <c:v>2</c:v>
                </c:pt>
                <c:pt idx="16">
                  <c:v>2</c:v>
                </c:pt>
                <c:pt idx="17">
                  <c:v>1</c:v>
                </c:pt>
              </c:numCache>
            </c:numRef>
          </c:val>
        </c:ser>
        <c:dLbls>
          <c:dLblPos val="outEnd"/>
          <c:showLegendKey val="0"/>
          <c:showVal val="1"/>
          <c:showCatName val="0"/>
          <c:showSerName val="0"/>
          <c:showPercent val="0"/>
          <c:showBubbleSize val="0"/>
        </c:dLbls>
        <c:gapWidth val="219"/>
        <c:overlap val="-27"/>
        <c:axId val="844521104"/>
        <c:axId val="844521648"/>
      </c:barChart>
      <c:catAx>
        <c:axId val="84452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1648"/>
        <c:crosses val="autoZero"/>
        <c:auto val="1"/>
        <c:lblAlgn val="ctr"/>
        <c:lblOffset val="100"/>
        <c:noMultiLvlLbl val="0"/>
      </c:catAx>
      <c:valAx>
        <c:axId val="844521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[Zomato_cleaned_excel.xlsx]Q6 Avg_Rating!PivotTable6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 Avg_Rating'!$B$3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 Avg_Rating'!$A$4:$A$6</c:f>
              <c:strCache>
                <c:ptCount val="2"/>
                <c:pt idx="0">
                  <c:v>No</c:v>
                </c:pt>
                <c:pt idx="1">
                  <c:v>Yes</c:v>
                </c:pt>
              </c:strCache>
            </c:strRef>
          </c:cat>
          <c:val>
            <c:numRef>
              <c:f>'Q6 Avg_Rating'!$B$4:$B$6</c:f>
              <c:numCache>
                <c:formatCode>0.0</c:formatCode>
                <c:ptCount val="2"/>
                <c:pt idx="0">
                  <c:v>3.4877777777777776</c:v>
                </c:pt>
                <c:pt idx="1">
                  <c:v>3.8586206896551718</c:v>
                </c:pt>
              </c:numCache>
            </c:numRef>
          </c:val>
        </c:ser>
        <c:dLbls>
          <c:dLblPos val="outEnd"/>
          <c:showLegendKey val="0"/>
          <c:showVal val="1"/>
          <c:showCatName val="0"/>
          <c:showSerName val="0"/>
          <c:showPercent val="0"/>
          <c:showBubbleSize val="0"/>
        </c:dLbls>
        <c:gapWidth val="219"/>
        <c:overlap val="-27"/>
        <c:axId val="844523824"/>
        <c:axId val="844530896"/>
      </c:barChart>
      <c:catAx>
        <c:axId val="8445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30896"/>
        <c:crosses val="autoZero"/>
        <c:auto val="1"/>
        <c:lblAlgn val="ctr"/>
        <c:lblOffset val="100"/>
        <c:noMultiLvlLbl val="0"/>
      </c:catAx>
      <c:valAx>
        <c:axId val="84453089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3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[Zomato_cleaned_excel.xlsx]Q7 More_Online_Orders!PivotTable7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 More_Online_Orders'!$B$3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 More_Online_Orders'!$A$4:$A$8</c:f>
              <c:strCache>
                <c:ptCount val="4"/>
                <c:pt idx="0">
                  <c:v>Dining</c:v>
                </c:pt>
                <c:pt idx="1">
                  <c:v>Cafes</c:v>
                </c:pt>
                <c:pt idx="2">
                  <c:v>other</c:v>
                </c:pt>
                <c:pt idx="3">
                  <c:v>Buffet</c:v>
                </c:pt>
              </c:strCache>
            </c:strRef>
          </c:cat>
          <c:val>
            <c:numRef>
              <c:f>'Q7 More_Online_Orders'!$B$4:$B$8</c:f>
              <c:numCache>
                <c:formatCode>General</c:formatCode>
                <c:ptCount val="4"/>
                <c:pt idx="0">
                  <c:v>33</c:v>
                </c:pt>
                <c:pt idx="1">
                  <c:v>15</c:v>
                </c:pt>
                <c:pt idx="2">
                  <c:v>6</c:v>
                </c:pt>
                <c:pt idx="3">
                  <c:v>4</c:v>
                </c:pt>
              </c:numCache>
            </c:numRef>
          </c:val>
        </c:ser>
        <c:dLbls>
          <c:dLblPos val="outEnd"/>
          <c:showLegendKey val="0"/>
          <c:showVal val="1"/>
          <c:showCatName val="0"/>
          <c:showSerName val="0"/>
          <c:showPercent val="0"/>
          <c:showBubbleSize val="0"/>
        </c:dLbls>
        <c:gapWidth val="219"/>
        <c:overlap val="-27"/>
        <c:axId val="844524912"/>
        <c:axId val="844522192"/>
      </c:barChart>
      <c:catAx>
        <c:axId val="84452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2192"/>
        <c:crosses val="autoZero"/>
        <c:auto val="1"/>
        <c:lblAlgn val="ctr"/>
        <c:lblOffset val="100"/>
        <c:noMultiLvlLbl val="0"/>
      </c:catAx>
      <c:valAx>
        <c:axId val="84452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4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[Zomato_cleaned_excel.xlsx]Q8 Top_10_Restaurants!PivotTable8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Restaurants by Number of Votes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'Q8 Top_10_Restaurants'!$B$3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 Top_10_Restaurants'!$A$4:$A$8</c:f>
              <c:strCache>
                <c:ptCount val="4"/>
                <c:pt idx="0">
                  <c:v>San Churro Cafe</c:v>
                </c:pt>
                <c:pt idx="1">
                  <c:v>Meghana Foods</c:v>
                </c:pt>
                <c:pt idx="2">
                  <c:v>Empire Restaurant</c:v>
                </c:pt>
                <c:pt idx="3">
                  <c:v>Onesta</c:v>
                </c:pt>
              </c:strCache>
            </c:strRef>
          </c:cat>
          <c:val>
            <c:numRef>
              <c:f>'Q8 Top_10_Restaurants'!$B$4:$B$8</c:f>
              <c:numCache>
                <c:formatCode>General</c:formatCode>
                <c:ptCount val="4"/>
                <c:pt idx="0">
                  <c:v>1836</c:v>
                </c:pt>
                <c:pt idx="1">
                  <c:v>4401</c:v>
                </c:pt>
                <c:pt idx="2">
                  <c:v>4884</c:v>
                </c:pt>
                <c:pt idx="3">
                  <c:v>5112</c:v>
                </c:pt>
              </c:numCache>
            </c:numRef>
          </c:val>
        </c:ser>
        <c:dLbls>
          <c:dLblPos val="outEnd"/>
          <c:showLegendKey val="0"/>
          <c:showVal val="1"/>
          <c:showCatName val="0"/>
          <c:showSerName val="0"/>
          <c:showPercent val="0"/>
          <c:showBubbleSize val="0"/>
        </c:dLbls>
        <c:gapWidth val="182"/>
        <c:axId val="844525456"/>
        <c:axId val="844524368"/>
      </c:barChart>
      <c:catAx>
        <c:axId val="84452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4368"/>
        <c:crosses val="autoZero"/>
        <c:auto val="1"/>
        <c:lblAlgn val="ctr"/>
        <c:lblOffset val="100"/>
        <c:noMultiLvlLbl val="0"/>
      </c:catAx>
      <c:valAx>
        <c:axId val="84452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5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[Zomato_cleaned_excel.xlsx]Q9 Customer_Engagement!PivotTable9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Engagement by Restaurant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 Customer_Engagement'!$B$3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 Customer_Engagement'!$A$4:$A$8</c:f>
              <c:strCache>
                <c:ptCount val="4"/>
                <c:pt idx="0">
                  <c:v>Dining</c:v>
                </c:pt>
                <c:pt idx="1">
                  <c:v>other</c:v>
                </c:pt>
                <c:pt idx="2">
                  <c:v>Cafes</c:v>
                </c:pt>
                <c:pt idx="3">
                  <c:v>Buffet</c:v>
                </c:pt>
              </c:strCache>
            </c:strRef>
          </c:cat>
          <c:val>
            <c:numRef>
              <c:f>'Q9 Customer_Engagement'!$B$4:$B$8</c:f>
              <c:numCache>
                <c:formatCode>General</c:formatCode>
                <c:ptCount val="4"/>
                <c:pt idx="0">
                  <c:v>20363</c:v>
                </c:pt>
                <c:pt idx="1">
                  <c:v>9367</c:v>
                </c:pt>
                <c:pt idx="2">
                  <c:v>6434</c:v>
                </c:pt>
                <c:pt idx="3">
                  <c:v>3028</c:v>
                </c:pt>
              </c:numCache>
            </c:numRef>
          </c:val>
        </c:ser>
        <c:dLbls>
          <c:dLblPos val="outEnd"/>
          <c:showLegendKey val="0"/>
          <c:showVal val="1"/>
          <c:showCatName val="0"/>
          <c:showSerName val="0"/>
          <c:showPercent val="0"/>
          <c:showBubbleSize val="0"/>
        </c:dLbls>
        <c:gapWidth val="219"/>
        <c:overlap val="-27"/>
        <c:axId val="844529808"/>
        <c:axId val="844530352"/>
      </c:barChart>
      <c:catAx>
        <c:axId val="84452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30352"/>
        <c:crosses val="autoZero"/>
        <c:auto val="1"/>
        <c:lblAlgn val="ctr"/>
        <c:lblOffset val="100"/>
        <c:noMultiLvlLbl val="0"/>
      </c:catAx>
      <c:valAx>
        <c:axId val="84453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9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[Zomato_cleaned_excel.xlsx]Q1 Restaurant Types!PivotTable1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1200" b="1"/>
              <a:t>Number</a:t>
            </a:r>
            <a:r>
              <a:rPr lang="en-US" sz="1200" b="1" baseline="0"/>
              <a:t> of </a:t>
            </a:r>
            <a:r>
              <a:rPr lang="en-US" sz="1200" b="1"/>
              <a:t>Restaurants by Type</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'Q1 Restaurant Types'!$B$2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'Q1 Restaurant Types'!$A$3:$A$7</c:f>
              <c:strCache>
                <c:ptCount val="4"/>
                <c:pt idx="0">
                  <c:v>Dining</c:v>
                </c:pt>
                <c:pt idx="1">
                  <c:v>Cafes</c:v>
                </c:pt>
                <c:pt idx="2">
                  <c:v>other</c:v>
                </c:pt>
                <c:pt idx="3">
                  <c:v>Buffet</c:v>
                </c:pt>
              </c:strCache>
            </c:strRef>
          </c:cat>
          <c:val>
            <c:numRef>
              <c:f>'Q1 Restaurant Types'!$B$3:$B$7</c:f>
              <c:numCache>
                <c:formatCode>General</c:formatCode>
                <c:ptCount val="4"/>
                <c:pt idx="0">
                  <c:v>110</c:v>
                </c:pt>
                <c:pt idx="1">
                  <c:v>23</c:v>
                </c:pt>
                <c:pt idx="2">
                  <c:v>8</c:v>
                </c:pt>
                <c:pt idx="3">
                  <c:v>7</c:v>
                </c:pt>
              </c:numCache>
            </c:numRef>
          </c:val>
        </c:ser>
        <c:dLbls>
          <c:dLblPos val="outEnd"/>
          <c:showLegendKey val="0"/>
          <c:showVal val="1"/>
          <c:showCatName val="0"/>
          <c:showSerName val="0"/>
          <c:showPercent val="0"/>
          <c:showBubbleSize val="0"/>
        </c:dLbls>
        <c:gapWidth val="219"/>
        <c:overlap val="-27"/>
        <c:axId val="844516752"/>
        <c:axId val="844522736"/>
      </c:barChart>
      <c:catAx>
        <c:axId val="84451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22736"/>
        <c:crosses val="autoZero"/>
        <c:auto val="1"/>
        <c:lblAlgn val="ctr"/>
        <c:lblOffset val="100"/>
        <c:noMultiLvlLbl val="0"/>
      </c:catAx>
      <c:valAx>
        <c:axId val="84452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16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[Zomato_cleaned_excel.xlsx]Q2 Votes_By_Type!PivotTable2</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baseline="0"/>
              <a:t>Total Votes by Restaurant Type</a:t>
            </a:r>
            <a:endParaRPr lang="en-US" sz="1200" b="1"/>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'Q2 Votes_By_Type'!$B$3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'Q2 Votes_By_Type'!$A$4:$A$8</c:f>
              <c:strCache>
                <c:ptCount val="4"/>
                <c:pt idx="0">
                  <c:v>Dining</c:v>
                </c:pt>
                <c:pt idx="1">
                  <c:v>other</c:v>
                </c:pt>
                <c:pt idx="2">
                  <c:v>Cafes</c:v>
                </c:pt>
                <c:pt idx="3">
                  <c:v>Buffet</c:v>
                </c:pt>
              </c:strCache>
            </c:strRef>
          </c:cat>
          <c:val>
            <c:numRef>
              <c:f>'Q2 Votes_By_Type'!$B$4:$B$8</c:f>
              <c:numCache>
                <c:formatCode>General</c:formatCode>
                <c:ptCount val="4"/>
                <c:pt idx="0">
                  <c:v>20363</c:v>
                </c:pt>
                <c:pt idx="1">
                  <c:v>9367</c:v>
                </c:pt>
                <c:pt idx="2">
                  <c:v>6434</c:v>
                </c:pt>
                <c:pt idx="3">
                  <c:v>3028</c:v>
                </c:pt>
              </c:numCache>
            </c:numRef>
          </c:val>
        </c:ser>
        <c:dLbls>
          <c:dLblPos val="outEnd"/>
          <c:showLegendKey val="0"/>
          <c:showVal val="1"/>
          <c:showCatName val="0"/>
          <c:showSerName val="0"/>
          <c:showPercent val="0"/>
          <c:showBubbleSize val="0"/>
        </c:dLbls>
        <c:gapWidth val="219"/>
        <c:overlap val="-27"/>
        <c:axId val="636902128"/>
        <c:axId val="851956432"/>
      </c:barChart>
      <c:catAx>
        <c:axId val="63690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6432"/>
        <c:crosses val="autoZero"/>
        <c:auto val="1"/>
        <c:lblAlgn val="ctr"/>
        <c:lblOffset val="100"/>
        <c:noMultiLvlLbl val="0"/>
      </c:catAx>
      <c:valAx>
        <c:axId val="85195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02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[Zomato_cleaned_excel.xlsx]Q3_Online_vs_Offline!PivotTable3</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Online</a:t>
            </a:r>
            <a:r>
              <a:rPr lang="en-US" sz="1200" b="1" baseline="0"/>
              <a:t> Order Availability</a:t>
            </a:r>
            <a:endParaRPr lang="en-US" sz="1200" b="1"/>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Q3_Online_vs_Offline!$B$3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Q3_Online_vs_Offline!$A$4:$A$6</c:f>
              <c:strCache>
                <c:ptCount val="2"/>
                <c:pt idx="0">
                  <c:v>No</c:v>
                </c:pt>
                <c:pt idx="1">
                  <c:v>Yes</c:v>
                </c:pt>
              </c:strCache>
            </c:strRef>
          </c:cat>
          <c:val>
            <c:numRef>
              <c:f>Q3_Online_vs_Offline!$B$4:$B$6</c:f>
              <c:numCache>
                <c:formatCode>General</c:formatCode>
                <c:ptCount val="2"/>
                <c:pt idx="0">
                  <c:v>90</c:v>
                </c:pt>
                <c:pt idx="1">
                  <c:v>58</c:v>
                </c:pt>
              </c:numCache>
            </c:numRef>
          </c:val>
        </c:ser>
        <c:dLbls>
          <c:dLblPos val="outEnd"/>
          <c:showLegendKey val="0"/>
          <c:showVal val="1"/>
          <c:showCatName val="0"/>
          <c:showSerName val="0"/>
          <c:showPercent val="0"/>
          <c:showBubbleSize val="0"/>
        </c:dLbls>
        <c:gapWidth val="219"/>
        <c:overlap val="-27"/>
        <c:axId val="851956976"/>
        <c:axId val="851960784"/>
      </c:barChart>
      <c:catAx>
        <c:axId val="85195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60784"/>
        <c:crosses val="autoZero"/>
        <c:auto val="1"/>
        <c:lblAlgn val="ctr"/>
        <c:lblOffset val="100"/>
        <c:noMultiLvlLbl val="0"/>
      </c:catAx>
      <c:valAx>
        <c:axId val="85196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6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[Zomato_cleaned_excel.xlsx]Q4_Rating_Distribution!PivotTable4</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baseline="0"/>
              <a:t>Distribution of Restaurants Ratings</a:t>
            </a:r>
            <a:endParaRPr lang="en-US" sz="1200" b="1"/>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Q4_Rating_Distribution!$B$3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Q4_Rating_Distribution!$A$4:$A$23</c:f>
              <c:strCache>
                <c:ptCount val="19"/>
                <c:pt idx="0">
                  <c:v>2.6</c:v>
                </c:pt>
                <c:pt idx="1">
                  <c:v>2.8</c:v>
                </c:pt>
                <c:pt idx="2">
                  <c:v>2.9</c:v>
                </c:pt>
                <c:pt idx="3">
                  <c:v>3</c:v>
                </c:pt>
                <c:pt idx="4">
                  <c:v>3.1</c:v>
                </c:pt>
                <c:pt idx="5">
                  <c:v>3.2</c:v>
                </c:pt>
                <c:pt idx="6">
                  <c:v>3.3</c:v>
                </c:pt>
                <c:pt idx="7">
                  <c:v>3.4</c:v>
                </c:pt>
                <c:pt idx="8">
                  <c:v>3.5</c:v>
                </c:pt>
                <c:pt idx="9">
                  <c:v>3.6</c:v>
                </c:pt>
                <c:pt idx="10">
                  <c:v>3.7</c:v>
                </c:pt>
                <c:pt idx="11">
                  <c:v>3.8</c:v>
                </c:pt>
                <c:pt idx="12">
                  <c:v>3.9</c:v>
                </c:pt>
                <c:pt idx="13">
                  <c:v>4</c:v>
                </c:pt>
                <c:pt idx="14">
                  <c:v>4.1</c:v>
                </c:pt>
                <c:pt idx="15">
                  <c:v>4.2</c:v>
                </c:pt>
                <c:pt idx="16">
                  <c:v>4.3</c:v>
                </c:pt>
                <c:pt idx="17">
                  <c:v>4.4</c:v>
                </c:pt>
                <c:pt idx="18">
                  <c:v>4.6</c:v>
                </c:pt>
              </c:strCache>
            </c:strRef>
          </c:cat>
          <c:val>
            <c:numRef>
              <c:f>Q4_Rating_Distribution!$B$4:$B$23</c:f>
              <c:numCache>
                <c:formatCode>General</c:formatCode>
                <c:ptCount val="19"/>
                <c:pt idx="0">
                  <c:v>1</c:v>
                </c:pt>
                <c:pt idx="1">
                  <c:v>2</c:v>
                </c:pt>
                <c:pt idx="2">
                  <c:v>7</c:v>
                </c:pt>
                <c:pt idx="3">
                  <c:v>2</c:v>
                </c:pt>
                <c:pt idx="4">
                  <c:v>7</c:v>
                </c:pt>
                <c:pt idx="5">
                  <c:v>7</c:v>
                </c:pt>
                <c:pt idx="6">
                  <c:v>14</c:v>
                </c:pt>
                <c:pt idx="7">
                  <c:v>12</c:v>
                </c:pt>
                <c:pt idx="8">
                  <c:v>6</c:v>
                </c:pt>
                <c:pt idx="9">
                  <c:v>11</c:v>
                </c:pt>
                <c:pt idx="10">
                  <c:v>15</c:v>
                </c:pt>
                <c:pt idx="11">
                  <c:v>20</c:v>
                </c:pt>
                <c:pt idx="12">
                  <c:v>10</c:v>
                </c:pt>
                <c:pt idx="13">
                  <c:v>10</c:v>
                </c:pt>
                <c:pt idx="14">
                  <c:v>11</c:v>
                </c:pt>
                <c:pt idx="15">
                  <c:v>8</c:v>
                </c:pt>
                <c:pt idx="16">
                  <c:v>1</c:v>
                </c:pt>
                <c:pt idx="17">
                  <c:v>2</c:v>
                </c:pt>
                <c:pt idx="18">
                  <c:v>2</c:v>
                </c:pt>
              </c:numCache>
            </c:numRef>
          </c:val>
        </c:ser>
        <c:dLbls>
          <c:dLblPos val="outEnd"/>
          <c:showLegendKey val="0"/>
          <c:showVal val="1"/>
          <c:showCatName val="0"/>
          <c:showSerName val="0"/>
          <c:showPercent val="0"/>
          <c:showBubbleSize val="0"/>
        </c:dLbls>
        <c:gapWidth val="219"/>
        <c:overlap val="-27"/>
        <c:axId val="851962416"/>
        <c:axId val="851957520"/>
      </c:barChart>
      <c:catAx>
        <c:axId val="8519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7520"/>
        <c:crosses val="autoZero"/>
        <c:auto val="1"/>
        <c:lblAlgn val="ctr"/>
        <c:lblOffset val="100"/>
        <c:noMultiLvlLbl val="0"/>
      </c:catAx>
      <c:valAx>
        <c:axId val="851957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62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[Zomato_cleaned_excel.xlsx]Q5_Price_Range!PivotTable5</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baseline="0"/>
              <a:t>Most Common Price for Two People</a:t>
            </a:r>
            <a:endParaRPr lang="en-US" sz="1200" b="1"/>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Q5_Price_Range!$B$3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Q5_Price_Range!$A$4:$A$22</c:f>
              <c:strCache>
                <c:ptCount val="18"/>
                <c:pt idx="0">
                  <c:v>300</c:v>
                </c:pt>
                <c:pt idx="1">
                  <c:v>200</c:v>
                </c:pt>
                <c:pt idx="2">
                  <c:v>150</c:v>
                </c:pt>
                <c:pt idx="3">
                  <c:v>400</c:v>
                </c:pt>
                <c:pt idx="4">
                  <c:v>500</c:v>
                </c:pt>
                <c:pt idx="5">
                  <c:v>600</c:v>
                </c:pt>
                <c:pt idx="6">
                  <c:v>800</c:v>
                </c:pt>
                <c:pt idx="7">
                  <c:v>100</c:v>
                </c:pt>
                <c:pt idx="8">
                  <c:v>450</c:v>
                </c:pt>
                <c:pt idx="9">
                  <c:v>250</c:v>
                </c:pt>
                <c:pt idx="10">
                  <c:v>700</c:v>
                </c:pt>
                <c:pt idx="11">
                  <c:v>550</c:v>
                </c:pt>
                <c:pt idx="12">
                  <c:v>750</c:v>
                </c:pt>
                <c:pt idx="13">
                  <c:v>350</c:v>
                </c:pt>
                <c:pt idx="14">
                  <c:v>850</c:v>
                </c:pt>
                <c:pt idx="15">
                  <c:v>900</c:v>
                </c:pt>
                <c:pt idx="16">
                  <c:v>650</c:v>
                </c:pt>
                <c:pt idx="17">
                  <c:v>950</c:v>
                </c:pt>
              </c:strCache>
            </c:strRef>
          </c:cat>
          <c:val>
            <c:numRef>
              <c:f>Q5_Price_Range!$B$4:$B$22</c:f>
              <c:numCache>
                <c:formatCode>General</c:formatCode>
                <c:ptCount val="18"/>
                <c:pt idx="0">
                  <c:v>23</c:v>
                </c:pt>
                <c:pt idx="1">
                  <c:v>16</c:v>
                </c:pt>
                <c:pt idx="2">
                  <c:v>16</c:v>
                </c:pt>
                <c:pt idx="3">
                  <c:v>15</c:v>
                </c:pt>
                <c:pt idx="4">
                  <c:v>14</c:v>
                </c:pt>
                <c:pt idx="5">
                  <c:v>13</c:v>
                </c:pt>
                <c:pt idx="6">
                  <c:v>12</c:v>
                </c:pt>
                <c:pt idx="7">
                  <c:v>6</c:v>
                </c:pt>
                <c:pt idx="8">
                  <c:v>6</c:v>
                </c:pt>
                <c:pt idx="9">
                  <c:v>6</c:v>
                </c:pt>
                <c:pt idx="10">
                  <c:v>5</c:v>
                </c:pt>
                <c:pt idx="11">
                  <c:v>3</c:v>
                </c:pt>
                <c:pt idx="12">
                  <c:v>3</c:v>
                </c:pt>
                <c:pt idx="13">
                  <c:v>3</c:v>
                </c:pt>
                <c:pt idx="14">
                  <c:v>2</c:v>
                </c:pt>
                <c:pt idx="15">
                  <c:v>2</c:v>
                </c:pt>
                <c:pt idx="16">
                  <c:v>2</c:v>
                </c:pt>
                <c:pt idx="17">
                  <c:v>1</c:v>
                </c:pt>
              </c:numCache>
            </c:numRef>
          </c:val>
        </c:ser>
        <c:dLbls>
          <c:dLblPos val="outEnd"/>
          <c:showLegendKey val="0"/>
          <c:showVal val="1"/>
          <c:showCatName val="0"/>
          <c:showSerName val="0"/>
          <c:showPercent val="0"/>
          <c:showBubbleSize val="0"/>
        </c:dLbls>
        <c:gapWidth val="219"/>
        <c:overlap val="-27"/>
        <c:axId val="851955888"/>
        <c:axId val="851961872"/>
      </c:barChart>
      <c:catAx>
        <c:axId val="85195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61872"/>
        <c:crosses val="autoZero"/>
        <c:auto val="1"/>
        <c:lblAlgn val="ctr"/>
        <c:lblOffset val="100"/>
        <c:noMultiLvlLbl val="0"/>
      </c:catAx>
      <c:valAx>
        <c:axId val="85196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5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[Zomato_cleaned_excel.xlsx]Q6 Avg_Rating!PivotTable6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Average Rating: Online vs Offline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'Q6 Avg_Rating'!$B$3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'Q6 Avg_Rating'!$A$4:$A$6</c:f>
              <c:strCache>
                <c:ptCount val="2"/>
                <c:pt idx="0">
                  <c:v>No</c:v>
                </c:pt>
                <c:pt idx="1">
                  <c:v>Yes</c:v>
                </c:pt>
              </c:strCache>
            </c:strRef>
          </c:cat>
          <c:val>
            <c:numRef>
              <c:f>'Q6 Avg_Rating'!$B$4:$B$6</c:f>
              <c:numCache>
                <c:formatCode>0.0</c:formatCode>
                <c:ptCount val="2"/>
                <c:pt idx="0">
                  <c:v>3.4877777777777776</c:v>
                </c:pt>
                <c:pt idx="1">
                  <c:v>3.8586206896551718</c:v>
                </c:pt>
              </c:numCache>
            </c:numRef>
          </c:val>
        </c:ser>
        <c:dLbls>
          <c:dLblPos val="outEnd"/>
          <c:showLegendKey val="0"/>
          <c:showVal val="1"/>
          <c:showCatName val="0"/>
          <c:showSerName val="0"/>
          <c:showPercent val="0"/>
          <c:showBubbleSize val="0"/>
        </c:dLbls>
        <c:gapWidth val="219"/>
        <c:overlap val="-27"/>
        <c:axId val="851962960"/>
        <c:axId val="851958064"/>
      </c:barChart>
      <c:catAx>
        <c:axId val="8519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8064"/>
        <c:crosses val="autoZero"/>
        <c:auto val="1"/>
        <c:lblAlgn val="ctr"/>
        <c:lblOffset val="100"/>
        <c:noMultiLvlLbl val="0"/>
      </c:catAx>
      <c:valAx>
        <c:axId val="85195806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62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[Zomato_cleaned_excel.xlsx]Q7 More_Online_Orders!PivotTable7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Online Orders by Restaurant Type</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'Q7 More_Online_Orders'!$B$3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'Q7 More_Online_Orders'!$A$4:$A$8</c:f>
              <c:strCache>
                <c:ptCount val="4"/>
                <c:pt idx="0">
                  <c:v>Dining</c:v>
                </c:pt>
                <c:pt idx="1">
                  <c:v>Cafes</c:v>
                </c:pt>
                <c:pt idx="2">
                  <c:v>other</c:v>
                </c:pt>
                <c:pt idx="3">
                  <c:v>Buffet</c:v>
                </c:pt>
              </c:strCache>
            </c:strRef>
          </c:cat>
          <c:val>
            <c:numRef>
              <c:f>'Q7 More_Online_Orders'!$B$4:$B$8</c:f>
              <c:numCache>
                <c:formatCode>General</c:formatCode>
                <c:ptCount val="4"/>
                <c:pt idx="0">
                  <c:v>33</c:v>
                </c:pt>
                <c:pt idx="1">
                  <c:v>15</c:v>
                </c:pt>
                <c:pt idx="2">
                  <c:v>6</c:v>
                </c:pt>
                <c:pt idx="3">
                  <c:v>4</c:v>
                </c:pt>
              </c:numCache>
            </c:numRef>
          </c:val>
        </c:ser>
        <c:dLbls>
          <c:dLblPos val="outEnd"/>
          <c:showLegendKey val="0"/>
          <c:showVal val="1"/>
          <c:showCatName val="0"/>
          <c:showSerName val="0"/>
          <c:showPercent val="0"/>
          <c:showBubbleSize val="0"/>
        </c:dLbls>
        <c:gapWidth val="219"/>
        <c:overlap val="-27"/>
        <c:axId val="851958608"/>
        <c:axId val="851959152"/>
      </c:barChart>
      <c:catAx>
        <c:axId val="85195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9152"/>
        <c:crosses val="autoZero"/>
        <c:auto val="1"/>
        <c:lblAlgn val="ctr"/>
        <c:lblOffset val="100"/>
        <c:noMultiLvlLbl val="0"/>
      </c:catAx>
      <c:valAx>
        <c:axId val="851959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8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[Zomato_cleaned_excel.xlsx]Q8 Top_10_Restaurants!PivotTable8</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5 Restaurants by No of Votes</a:t>
            </a:r>
            <a:endParaRPr lang="en-US" sz="1200" b="1"/>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'Q8 Top_10_Restaurants'!$B$3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'Q8 Top_10_Restaurants'!$A$4:$A$8</c:f>
              <c:strCache>
                <c:ptCount val="4"/>
                <c:pt idx="0">
                  <c:v>San Churro Cafe</c:v>
                </c:pt>
                <c:pt idx="1">
                  <c:v>Meghana Foods</c:v>
                </c:pt>
                <c:pt idx="2">
                  <c:v>Empire Restaurant</c:v>
                </c:pt>
                <c:pt idx="3">
                  <c:v>Onesta</c:v>
                </c:pt>
              </c:strCache>
            </c:strRef>
          </c:cat>
          <c:val>
            <c:numRef>
              <c:f>'Q8 Top_10_Restaurants'!$B$4:$B$8</c:f>
              <c:numCache>
                <c:formatCode>General</c:formatCode>
                <c:ptCount val="4"/>
                <c:pt idx="0">
                  <c:v>1836</c:v>
                </c:pt>
                <c:pt idx="1">
                  <c:v>4401</c:v>
                </c:pt>
                <c:pt idx="2">
                  <c:v>4884</c:v>
                </c:pt>
                <c:pt idx="3">
                  <c:v>5112</c:v>
                </c:pt>
              </c:numCache>
            </c:numRef>
          </c:val>
        </c:ser>
        <c:dLbls>
          <c:dLblPos val="outEnd"/>
          <c:showLegendKey val="0"/>
          <c:showVal val="1"/>
          <c:showCatName val="0"/>
          <c:showSerName val="0"/>
          <c:showPercent val="0"/>
          <c:showBubbleSize val="0"/>
        </c:dLbls>
        <c:gapWidth val="182"/>
        <c:axId val="851959696"/>
        <c:axId val="851960240"/>
      </c:barChart>
      <c:catAx>
        <c:axId val="85195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60240"/>
        <c:crosses val="autoZero"/>
        <c:auto val="1"/>
        <c:lblAlgn val="ctr"/>
        <c:lblOffset val="100"/>
        <c:noMultiLvlLbl val="0"/>
      </c:catAx>
      <c:valAx>
        <c:axId val="85196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59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[Zomato_cleaned_excel.xlsx]Q9 Customer_Engagement!PivotTable9</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Customer</a:t>
            </a:r>
            <a:r>
              <a:rPr lang="en-US" sz="1200" b="1" baseline="0"/>
              <a:t> Engagement by Restaurant Type</a:t>
            </a:r>
            <a:endParaRPr lang="en-US" sz="1200" b="1"/>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'Q9 Customer_Engagement'!$B$3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'Q9 Customer_Engagement'!$A$4:$A$8</c:f>
              <c:strCache>
                <c:ptCount val="4"/>
                <c:pt idx="0">
                  <c:v>Dining</c:v>
                </c:pt>
                <c:pt idx="1">
                  <c:v>other</c:v>
                </c:pt>
                <c:pt idx="2">
                  <c:v>Cafes</c:v>
                </c:pt>
                <c:pt idx="3">
                  <c:v>Buffet</c:v>
                </c:pt>
              </c:strCache>
            </c:strRef>
          </c:cat>
          <c:val>
            <c:numRef>
              <c:f>'Q9 Customer_Engagement'!$B$4:$B$8</c:f>
              <c:numCache>
                <c:formatCode>General</c:formatCode>
                <c:ptCount val="4"/>
                <c:pt idx="0">
                  <c:v>20363</c:v>
                </c:pt>
                <c:pt idx="1">
                  <c:v>9367</c:v>
                </c:pt>
                <c:pt idx="2">
                  <c:v>6434</c:v>
                </c:pt>
                <c:pt idx="3">
                  <c:v>3028</c:v>
                </c:pt>
              </c:numCache>
            </c:numRef>
          </c:val>
        </c:ser>
        <c:dLbls>
          <c:dLblPos val="outEnd"/>
          <c:showLegendKey val="0"/>
          <c:showVal val="1"/>
          <c:showCatName val="0"/>
          <c:showSerName val="0"/>
          <c:showPercent val="0"/>
          <c:showBubbleSize val="0"/>
        </c:dLbls>
        <c:gapWidth val="219"/>
        <c:overlap val="-27"/>
        <c:axId val="851961328"/>
        <c:axId val="853203280"/>
      </c:barChart>
      <c:catAx>
        <c:axId val="8519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203280"/>
        <c:crosses val="autoZero"/>
        <c:auto val="1"/>
        <c:lblAlgn val="ctr"/>
        <c:lblOffset val="100"/>
        <c:noMultiLvlLbl val="0"/>
      </c:catAx>
      <c:valAx>
        <c:axId val="85320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6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390525</xdr:colOff>
      <xdr:row>3</xdr:row>
      <xdr:rowOff>176212</xdr:rowOff>
    </xdr:from>
    <xdr:to>
      <xdr:col>11</xdr:col>
      <xdr:colOff>85725</xdr:colOff>
      <xdr:row>18</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2</xdr:row>
      <xdr:rowOff>4762</xdr:rowOff>
    </xdr:from>
    <xdr:to>
      <xdr:col>11</xdr:col>
      <xdr:colOff>314325</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14287</xdr:rowOff>
    </xdr:from>
    <xdr:to>
      <xdr:col>10</xdr:col>
      <xdr:colOff>314325</xdr:colOff>
      <xdr:row>16</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2</xdr:row>
      <xdr:rowOff>4762</xdr:rowOff>
    </xdr:from>
    <xdr:to>
      <xdr:col>10</xdr:col>
      <xdr:colOff>314325</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2</xdr:row>
      <xdr:rowOff>14287</xdr:rowOff>
    </xdr:from>
    <xdr:to>
      <xdr:col>10</xdr:col>
      <xdr:colOff>314325</xdr:colOff>
      <xdr:row>16</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2</xdr:row>
      <xdr:rowOff>4762</xdr:rowOff>
    </xdr:from>
    <xdr:to>
      <xdr:col>10</xdr:col>
      <xdr:colOff>314325</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xdr:colOff>
      <xdr:row>2</xdr:row>
      <xdr:rowOff>14287</xdr:rowOff>
    </xdr:from>
    <xdr:to>
      <xdr:col>11</xdr:col>
      <xdr:colOff>314325</xdr:colOff>
      <xdr:row>16</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2</xdr:row>
      <xdr:rowOff>14287</xdr:rowOff>
    </xdr:from>
    <xdr:to>
      <xdr:col>11</xdr:col>
      <xdr:colOff>304800</xdr:colOff>
      <xdr:row>16</xdr:row>
      <xdr:rowOff>90487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561975</xdr:colOff>
      <xdr:row>5</xdr:row>
      <xdr:rowOff>4762</xdr:rowOff>
    </xdr:from>
    <xdr:to>
      <xdr:col>11</xdr:col>
      <xdr:colOff>257175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13608</xdr:colOff>
      <xdr:row>7</xdr:row>
      <xdr:rowOff>68035</xdr:rowOff>
    </xdr:from>
    <xdr:to>
      <xdr:col>5</xdr:col>
      <xdr:colOff>60961</xdr:colOff>
      <xdr:row>15</xdr:row>
      <xdr:rowOff>189955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277584</xdr:colOff>
      <xdr:row>7</xdr:row>
      <xdr:rowOff>81642</xdr:rowOff>
    </xdr:from>
    <xdr:to>
      <xdr:col>10</xdr:col>
      <xdr:colOff>324937</xdr:colOff>
      <xdr:row>16</xdr:row>
      <xdr:rowOff>13062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548367</xdr:colOff>
      <xdr:row>7</xdr:row>
      <xdr:rowOff>87085</xdr:rowOff>
    </xdr:from>
    <xdr:to>
      <xdr:col>15</xdr:col>
      <xdr:colOff>595720</xdr:colOff>
      <xdr:row>16</xdr:row>
      <xdr:rowOff>18505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13607</xdr:colOff>
      <xdr:row>16</xdr:row>
      <xdr:rowOff>81643</xdr:rowOff>
    </xdr:from>
    <xdr:to>
      <xdr:col>5</xdr:col>
      <xdr:colOff>60960</xdr:colOff>
      <xdr:row>25</xdr:row>
      <xdr:rowOff>13063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272143</xdr:colOff>
      <xdr:row>16</xdr:row>
      <xdr:rowOff>81643</xdr:rowOff>
    </xdr:from>
    <xdr:to>
      <xdr:col>10</xdr:col>
      <xdr:colOff>319496</xdr:colOff>
      <xdr:row>25</xdr:row>
      <xdr:rowOff>13063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544283</xdr:colOff>
      <xdr:row>16</xdr:row>
      <xdr:rowOff>81642</xdr:rowOff>
    </xdr:from>
    <xdr:to>
      <xdr:col>15</xdr:col>
      <xdr:colOff>591636</xdr:colOff>
      <xdr:row>25</xdr:row>
      <xdr:rowOff>13062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13608</xdr:colOff>
      <xdr:row>25</xdr:row>
      <xdr:rowOff>68035</xdr:rowOff>
    </xdr:from>
    <xdr:to>
      <xdr:col>5</xdr:col>
      <xdr:colOff>60961</xdr:colOff>
      <xdr:row>33</xdr:row>
      <xdr:rowOff>189955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272142</xdr:colOff>
      <xdr:row>25</xdr:row>
      <xdr:rowOff>68035</xdr:rowOff>
    </xdr:from>
    <xdr:to>
      <xdr:col>10</xdr:col>
      <xdr:colOff>319495</xdr:colOff>
      <xdr:row>33</xdr:row>
      <xdr:rowOff>189955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530678</xdr:colOff>
      <xdr:row>25</xdr:row>
      <xdr:rowOff>68034</xdr:rowOff>
    </xdr:from>
    <xdr:to>
      <xdr:col>15</xdr:col>
      <xdr:colOff>578031</xdr:colOff>
      <xdr:row>33</xdr:row>
      <xdr:rowOff>189954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13604</xdr:colOff>
      <xdr:row>0</xdr:row>
      <xdr:rowOff>0</xdr:rowOff>
    </xdr:from>
    <xdr:to>
      <xdr:col>18</xdr:col>
      <xdr:colOff>612320</xdr:colOff>
      <xdr:row>7</xdr:row>
      <xdr:rowOff>136071</xdr:rowOff>
    </xdr:to>
    <mc:AlternateContent xmlns:mc="http://schemas.openxmlformats.org/markup-compatibility/2006" xmlns:a14="http://schemas.microsoft.com/office/drawing/2010/main">
      <mc:Choice Requires="a14">
        <xdr:graphicFrame macro="">
          <xdr:nvGraphicFramePr>
            <xdr:cNvPr id="11" name="listed_in(type)"/>
            <xdr:cNvGraphicFramePr/>
          </xdr:nvGraphicFramePr>
          <xdr:xfrm>
            <a:off x="0" y="0"/>
            <a:ext cx="0" cy="0"/>
          </xdr:xfrm>
          <a:graphic>
            <a:graphicData uri="http://schemas.microsoft.com/office/drawing/2010/slicer">
              <sle:slicer xmlns:sle="http://schemas.microsoft.com/office/drawing/2010/slicer" name="listed_in(type)"/>
            </a:graphicData>
          </a:graphic>
        </xdr:graphicFrame>
      </mc:Choice>
      <mc:Fallback xmlns="">
        <xdr:sp macro="" textlink="">
          <xdr:nvSpPr>
            <xdr:cNvPr id="0" name=""/>
            <xdr:cNvSpPr>
              <a:spLocks noTextEdit="1"/>
            </xdr:cNvSpPr>
          </xdr:nvSpPr>
          <xdr:spPr>
            <a:xfrm>
              <a:off x="9810748" y="0"/>
              <a:ext cx="1455966" cy="1469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89.526347453706" createdVersion="5" refreshedVersion="5" minRefreshableVersion="3" recordCount="148">
  <cacheSource type="worksheet">
    <worksheetSource ref="A1:H149" sheet="Zomato_cleaned_excel"/>
  </cacheSource>
  <cacheFields count="8">
    <cacheField name="name" numFmtId="0">
      <sharedItems count="145">
        <s v="Jalsa"/>
        <s v="Spice Elephant"/>
        <s v="San Churro Cafe"/>
        <s v="Addhuri Udupi Bhojana"/>
        <s v="Grand Village"/>
        <s v="Timepass Dinner"/>
        <s v="Rosewood International Hotel - Bar &amp; Restaurant"/>
        <s v="Onesta"/>
        <s v="Penthouse Cafe"/>
        <s v="Smacznego"/>
        <s v="Village CafÃ©"/>
        <s v="Cafe Shuffle"/>
        <s v="The Coffee Shack"/>
        <s v="Caf-Eleven"/>
        <s v="Cafe Vivacity"/>
        <s v="Catch-up-ino"/>
        <s v="Kirthi's Biryani"/>
        <s v="T3H Cafe"/>
        <s v="360 Atoms Restaurant And Cafe"/>
        <s v="The Vintage Cafe"/>
        <s v="Woodee Pizza"/>
        <s v="Cafe Coffee Day"/>
        <s v="My Tea House"/>
        <s v="Hide Out Cafe"/>
        <s v="CAFE NOVA"/>
        <s v="Coffee Tindi"/>
        <s v="Sea Green Cafe"/>
        <s v="Cuppa"/>
        <s v="Srinathji's Cafe"/>
        <s v="Redberrys"/>
        <s v="Foodiction"/>
        <s v="Sweet Truth"/>
        <s v="Ovenstory Pizza"/>
        <s v="Faasos"/>
        <s v="Behrouz Biryani"/>
        <s v="Fast And Fresh"/>
        <s v="Szechuan Dragon"/>
        <s v="Empire Restaurant"/>
        <s v="Maruthi Davangere Benne Dosa"/>
        <s v="Chaatimes"/>
        <s v="Havyaka Mess"/>
        <s v="McDonald's"/>
        <s v="Domino's Pizza"/>
        <s v="Hotboxit"/>
        <s v="Kitchen Garden"/>
        <s v="Recipe"/>
        <s v="Beijing Bites"/>
        <s v="Tasty Bytes"/>
        <s v="Petoo"/>
        <s v="Shree Cool Point"/>
        <s v="Corner House Ice Cream"/>
        <s v="Biryanis And More"/>
        <s v="Roving Feast"/>
        <s v="FreshMenu"/>
        <s v="Banashankari Donne Biriyani"/>
        <s v="Wamama"/>
        <s v="Five Star Chicken"/>
        <s v="XO Belgian Waffle"/>
        <s v="Peppy Peppers"/>
        <s v="Goa 0 Km"/>
        <s v="Chinese Kitchen"/>
        <s v="Jeet Restaurant"/>
        <s v="Cake of the Day"/>
        <s v="Kabab Magic"/>
        <s v="Namma Brahmin's Idli"/>
        <s v="Gustoes Beer House"/>
        <s v="Sugar Rush"/>
        <s v="Burger King"/>
        <s v="The Good Bowl"/>
        <s v="The Biryani Cafe"/>
        <s v="Spicy Tandoor"/>
        <s v="LSD Cafe"/>
        <s v="Rolls On Wheels"/>
        <s v="Om Sri Vinayaka Chats"/>
        <s v="Sri Guru Kottureshwara Davangere Benne Dosa"/>
        <s v="Devanna Dum Biriyani Centre"/>
        <s v="Kolbeh"/>
        <s v="Upahar Sagar"/>
        <s v="Kadalu Sea Food Restaurant"/>
        <s v="Frozen Bottle"/>
        <s v="Parimala Sweets"/>
        <s v="Vaishali Deluxe"/>
        <s v="Chill Out"/>
        <s v="The Big O Bakes"/>
        <s v="Meghana Foods"/>
        <s v="Krishna Sagar"/>
        <s v="Dessert Rose"/>
        <s v="Chickpet Donne Biryani House"/>
        <s v="Me And My Cake"/>
        <s v="Sunsadm"/>
        <s v="Annapooraneshwari Mess"/>
        <s v="Thanco's Natural Ice Creams"/>
        <s v="Nandhini Deluxe"/>
        <s v="Vi Ra's Bar and Restaurant"/>
        <s v="Kaggis"/>
        <s v="Ayda Persian Kitchen"/>
        <s v="Chatar Patar"/>
        <s v="Polar Bear"/>
        <s v="Kidambi's Kitchen"/>
        <s v="Mane Thindi"/>
        <s v="Kotian Karavali Restaurant"/>
        <s v="Floured-Baked With Love"/>
        <s v="Cakes &amp; Slices"/>
        <s v="Spice 9"/>
        <s v="Coffee Shopee"/>
        <s v="Naveen Kabab &amp; Biriyani Mane"/>
        <s v="Katriguppe Donne Biryani"/>
        <s v="Hari Super Sandwich"/>
        <s v="Atithi Point Ande Ka Funda"/>
        <s v="Just Bake"/>
        <s v="Dharwad Line Bazaar Mishra Pedha"/>
        <s v="Cake Bite"/>
        <s v="Aarush's Food Plaza"/>
        <s v="Wood Stove"/>
        <s v="Kulfi &amp; More"/>
        <s v="Kannadigas Karavali"/>
        <s v="K27 - The Pub"/>
        <s v="Bengaluru Coffee House"/>
        <s v="New Mangalore Lunch Home"/>
        <s v="Coffee Bytes"/>
        <s v="Parjanya Chat Zone"/>
        <s v="Kwality Wall's Swirl's Happiness Station"/>
        <s v="Soms Kitchen &amp; Bakes"/>
        <s v="Banashankari Nati Style"/>
        <s v="Ruchi Maayaka"/>
        <s v="Mohitesh Hut Roll"/>
        <s v="Sri Basaveshwar Jolada Rotti Oota"/>
        <s v="Roll Magic Fast Food"/>
        <s v="Foodlieious Multi Cuisine"/>
        <s v="Thanishka Nati And Karavali Style"/>
        <s v="Swathi Cool Point"/>
        <s v="Kaumudis Juoice"/>
        <s v="Amma - Manae"/>
        <s v="Sri Sai Tiffannies"/>
        <s v="Hotel Andhra Speices"/>
        <s v="Sri Murari Family Restaurant"/>
        <s v="Aramane Donne Biriyani"/>
        <s v="Darkolates"/>
        <s v="Swaada Healthy Kitchen"/>
        <s v="Gawdaru Mane Beriyani"/>
        <s v="Melting Melodies"/>
        <s v="New Indraprasta"/>
        <s v="Anna Kuteera"/>
        <s v="Darbar"/>
        <s v="Vijayalakshmi"/>
      </sharedItems>
    </cacheField>
    <cacheField name="online_order" numFmtId="0">
      <sharedItems count="2">
        <s v="Yes"/>
        <s v="No"/>
      </sharedItems>
    </cacheField>
    <cacheField name="book_table" numFmtId="0">
      <sharedItems/>
    </cacheField>
    <cacheField name="rate" numFmtId="0">
      <sharedItems/>
    </cacheField>
    <cacheField name="rate_cleaned" numFmtId="0">
      <sharedItems containsSemiMixedTypes="0" containsString="0" containsNumber="1" minValue="2.6" maxValue="4.5999999999999996" count="19">
        <n v="4.0999999999999996"/>
        <n v="3.8"/>
        <n v="3.7"/>
        <n v="3.6"/>
        <n v="4.5999999999999996"/>
        <n v="4"/>
        <n v="4.2"/>
        <n v="3.9"/>
        <n v="3.1"/>
        <n v="3"/>
        <n v="3.2"/>
        <n v="3.3"/>
        <n v="2.8"/>
        <n v="4.4000000000000004"/>
        <n v="4.3"/>
        <n v="2.9"/>
        <n v="3.5"/>
        <n v="2.6"/>
        <n v="3.4"/>
      </sharedItems>
    </cacheField>
    <cacheField name="votes" numFmtId="0">
      <sharedItems containsSemiMixedTypes="0" containsString="0" containsNumber="1" containsInteger="1" minValue="0" maxValue="4884"/>
    </cacheField>
    <cacheField name="approx_cost(for two people)" numFmtId="0">
      <sharedItems containsSemiMixedTypes="0" containsString="0" containsNumber="1" containsInteger="1" minValue="100" maxValue="950" count="18">
        <n v="800"/>
        <n v="300"/>
        <n v="600"/>
        <n v="700"/>
        <n v="550"/>
        <n v="500"/>
        <n v="450"/>
        <n v="650"/>
        <n v="400"/>
        <n v="900"/>
        <n v="200"/>
        <n v="750"/>
        <n v="150"/>
        <n v="850"/>
        <n v="100"/>
        <n v="350"/>
        <n v="250"/>
        <n v="950"/>
      </sharedItems>
    </cacheField>
    <cacheField name="listed_in(type)" numFmtId="0">
      <sharedItems count="4">
        <s v="Buffet"/>
        <s v="Cafes"/>
        <s v="other"/>
        <s v="Dini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8">
  <r>
    <x v="0"/>
    <x v="0"/>
    <s v="Yes"/>
    <s v="4.1/5"/>
    <x v="0"/>
    <n v="775"/>
    <x v="0"/>
    <x v="0"/>
  </r>
  <r>
    <x v="1"/>
    <x v="0"/>
    <s v="No"/>
    <s v="4.1/5"/>
    <x v="0"/>
    <n v="787"/>
    <x v="0"/>
    <x v="0"/>
  </r>
  <r>
    <x v="2"/>
    <x v="0"/>
    <s v="No"/>
    <s v="3.8/5"/>
    <x v="1"/>
    <n v="918"/>
    <x v="0"/>
    <x v="0"/>
  </r>
  <r>
    <x v="3"/>
    <x v="1"/>
    <s v="No"/>
    <s v="3.7/5"/>
    <x v="2"/>
    <n v="88"/>
    <x v="1"/>
    <x v="0"/>
  </r>
  <r>
    <x v="4"/>
    <x v="1"/>
    <s v="No"/>
    <s v="3.8/5"/>
    <x v="1"/>
    <n v="166"/>
    <x v="2"/>
    <x v="0"/>
  </r>
  <r>
    <x v="5"/>
    <x v="0"/>
    <s v="No"/>
    <s v="3.8/5"/>
    <x v="1"/>
    <n v="286"/>
    <x v="2"/>
    <x v="0"/>
  </r>
  <r>
    <x v="6"/>
    <x v="1"/>
    <s v="No"/>
    <s v="3.6/5"/>
    <x v="3"/>
    <n v="8"/>
    <x v="0"/>
    <x v="0"/>
  </r>
  <r>
    <x v="7"/>
    <x v="0"/>
    <s v="Yes"/>
    <s v="4.6/5"/>
    <x v="4"/>
    <n v="2556"/>
    <x v="2"/>
    <x v="1"/>
  </r>
  <r>
    <x v="8"/>
    <x v="0"/>
    <s v="No"/>
    <s v="4.0/5"/>
    <x v="5"/>
    <n v="324"/>
    <x v="3"/>
    <x v="2"/>
  </r>
  <r>
    <x v="9"/>
    <x v="0"/>
    <s v="No"/>
    <s v="4.2/5"/>
    <x v="6"/>
    <n v="504"/>
    <x v="4"/>
    <x v="1"/>
  </r>
  <r>
    <x v="10"/>
    <x v="0"/>
    <s v="No"/>
    <s v="4.1/5"/>
    <x v="0"/>
    <n v="402"/>
    <x v="5"/>
    <x v="1"/>
  </r>
  <r>
    <x v="11"/>
    <x v="0"/>
    <s v="Yes"/>
    <s v="4.2/5"/>
    <x v="6"/>
    <n v="150"/>
    <x v="2"/>
    <x v="1"/>
  </r>
  <r>
    <x v="12"/>
    <x v="0"/>
    <s v="Yes"/>
    <s v="4.2/5"/>
    <x v="6"/>
    <n v="164"/>
    <x v="5"/>
    <x v="1"/>
  </r>
  <r>
    <x v="13"/>
    <x v="1"/>
    <s v="No"/>
    <s v="4.0/5"/>
    <x v="5"/>
    <n v="424"/>
    <x v="6"/>
    <x v="1"/>
  </r>
  <r>
    <x v="2"/>
    <x v="0"/>
    <s v="No"/>
    <s v="3.8/5"/>
    <x v="1"/>
    <n v="918"/>
    <x v="0"/>
    <x v="1"/>
  </r>
  <r>
    <x v="14"/>
    <x v="0"/>
    <s v="No"/>
    <s v="3.8/5"/>
    <x v="1"/>
    <n v="90"/>
    <x v="7"/>
    <x v="1"/>
  </r>
  <r>
    <x v="15"/>
    <x v="0"/>
    <s v="No"/>
    <s v="3.9/5"/>
    <x v="7"/>
    <n v="133"/>
    <x v="0"/>
    <x v="1"/>
  </r>
  <r>
    <x v="16"/>
    <x v="0"/>
    <s v="No"/>
    <s v="3.8/5"/>
    <x v="1"/>
    <n v="144"/>
    <x v="3"/>
    <x v="1"/>
  </r>
  <r>
    <x v="17"/>
    <x v="1"/>
    <s v="No"/>
    <s v="3.9/5"/>
    <x v="7"/>
    <n v="93"/>
    <x v="1"/>
    <x v="1"/>
  </r>
  <r>
    <x v="18"/>
    <x v="0"/>
    <s v="No"/>
    <s v="3.1/5"/>
    <x v="8"/>
    <n v="13"/>
    <x v="8"/>
    <x v="1"/>
  </r>
  <r>
    <x v="19"/>
    <x v="0"/>
    <s v="No"/>
    <s v="3.0/5"/>
    <x v="9"/>
    <n v="62"/>
    <x v="8"/>
    <x v="1"/>
  </r>
  <r>
    <x v="20"/>
    <x v="0"/>
    <s v="No"/>
    <s v="3.7/5"/>
    <x v="2"/>
    <n v="180"/>
    <x v="5"/>
    <x v="1"/>
  </r>
  <r>
    <x v="21"/>
    <x v="1"/>
    <s v="No"/>
    <s v="3.6/5"/>
    <x v="3"/>
    <n v="28"/>
    <x v="9"/>
    <x v="1"/>
  </r>
  <r>
    <x v="22"/>
    <x v="0"/>
    <s v="No"/>
    <s v="3.6/5"/>
    <x v="3"/>
    <n v="62"/>
    <x v="2"/>
    <x v="1"/>
  </r>
  <r>
    <x v="23"/>
    <x v="1"/>
    <s v="No"/>
    <s v="3.7/5"/>
    <x v="2"/>
    <n v="31"/>
    <x v="1"/>
    <x v="1"/>
  </r>
  <r>
    <x v="24"/>
    <x v="1"/>
    <s v="No"/>
    <s v="3.2/5"/>
    <x v="10"/>
    <n v="11"/>
    <x v="2"/>
    <x v="1"/>
  </r>
  <r>
    <x v="25"/>
    <x v="0"/>
    <s v="No"/>
    <s v="3.8/5"/>
    <x v="1"/>
    <n v="75"/>
    <x v="10"/>
    <x v="1"/>
  </r>
  <r>
    <x v="26"/>
    <x v="1"/>
    <s v="No"/>
    <s v="3.3/5"/>
    <x v="11"/>
    <n v="4"/>
    <x v="5"/>
    <x v="1"/>
  </r>
  <r>
    <x v="27"/>
    <x v="1"/>
    <s v="No"/>
    <s v="3.3/5"/>
    <x v="11"/>
    <n v="23"/>
    <x v="4"/>
    <x v="1"/>
  </r>
  <r>
    <x v="28"/>
    <x v="1"/>
    <s v="No"/>
    <s v="3.8/5"/>
    <x v="1"/>
    <n v="148"/>
    <x v="4"/>
    <x v="1"/>
  </r>
  <r>
    <x v="29"/>
    <x v="0"/>
    <s v="No"/>
    <s v="4.0/5"/>
    <x v="5"/>
    <n v="219"/>
    <x v="2"/>
    <x v="1"/>
  </r>
  <r>
    <x v="30"/>
    <x v="0"/>
    <s v="No"/>
    <s v="2.8/5"/>
    <x v="12"/>
    <n v="506"/>
    <x v="5"/>
    <x v="2"/>
  </r>
  <r>
    <x v="31"/>
    <x v="0"/>
    <s v="No"/>
    <s v="3.9/5"/>
    <x v="7"/>
    <n v="35"/>
    <x v="5"/>
    <x v="3"/>
  </r>
  <r>
    <x v="32"/>
    <x v="0"/>
    <s v="No"/>
    <s v="3.9/5"/>
    <x v="7"/>
    <n v="172"/>
    <x v="11"/>
    <x v="3"/>
  </r>
  <r>
    <x v="33"/>
    <x v="0"/>
    <s v="No"/>
    <s v="4.2/5"/>
    <x v="6"/>
    <n v="415"/>
    <x v="5"/>
    <x v="2"/>
  </r>
  <r>
    <x v="34"/>
    <x v="0"/>
    <s v="No"/>
    <s v="3.9/5"/>
    <x v="7"/>
    <n v="230"/>
    <x v="7"/>
    <x v="3"/>
  </r>
  <r>
    <x v="35"/>
    <x v="0"/>
    <s v="No"/>
    <s v="2.8/5"/>
    <x v="12"/>
    <n v="91"/>
    <x v="8"/>
    <x v="3"/>
  </r>
  <r>
    <x v="36"/>
    <x v="0"/>
    <s v="No"/>
    <s v="4.2/5"/>
    <x v="6"/>
    <n v="1647"/>
    <x v="2"/>
    <x v="3"/>
  </r>
  <r>
    <x v="37"/>
    <x v="0"/>
    <s v="No"/>
    <s v="4.4/5"/>
    <x v="13"/>
    <n v="4884"/>
    <x v="11"/>
    <x v="2"/>
  </r>
  <r>
    <x v="38"/>
    <x v="0"/>
    <s v="No"/>
    <s v="4.0/5"/>
    <x v="5"/>
    <n v="17"/>
    <x v="12"/>
    <x v="3"/>
  </r>
  <r>
    <x v="39"/>
    <x v="0"/>
    <s v="No"/>
    <s v="3.8/5"/>
    <x v="1"/>
    <n v="133"/>
    <x v="10"/>
    <x v="3"/>
  </r>
  <r>
    <x v="40"/>
    <x v="1"/>
    <s v="No"/>
    <s v="3.9/5"/>
    <x v="7"/>
    <n v="28"/>
    <x v="1"/>
    <x v="3"/>
  </r>
  <r>
    <x v="41"/>
    <x v="0"/>
    <s v="No"/>
    <s v="3.9/5"/>
    <x v="7"/>
    <n v="286"/>
    <x v="5"/>
    <x v="3"/>
  </r>
  <r>
    <x v="42"/>
    <x v="0"/>
    <s v="No"/>
    <s v="3.9/5"/>
    <x v="7"/>
    <n v="540"/>
    <x v="0"/>
    <x v="3"/>
  </r>
  <r>
    <x v="7"/>
    <x v="0"/>
    <s v="Yes"/>
    <s v="4.6/5"/>
    <x v="4"/>
    <n v="2556"/>
    <x v="2"/>
    <x v="2"/>
  </r>
  <r>
    <x v="43"/>
    <x v="1"/>
    <s v="No"/>
    <s v="3.8/5"/>
    <x v="1"/>
    <n v="36"/>
    <x v="8"/>
    <x v="3"/>
  </r>
  <r>
    <x v="44"/>
    <x v="0"/>
    <s v="No"/>
    <s v="3.6/5"/>
    <x v="3"/>
    <n v="244"/>
    <x v="1"/>
    <x v="3"/>
  </r>
  <r>
    <x v="45"/>
    <x v="0"/>
    <s v="No"/>
    <s v="4.0/5"/>
    <x v="5"/>
    <n v="804"/>
    <x v="6"/>
    <x v="3"/>
  </r>
  <r>
    <x v="46"/>
    <x v="0"/>
    <s v="No"/>
    <s v="3.7/5"/>
    <x v="2"/>
    <n v="679"/>
    <x v="13"/>
    <x v="3"/>
  </r>
  <r>
    <x v="47"/>
    <x v="0"/>
    <s v="No"/>
    <s v="3.1/5"/>
    <x v="8"/>
    <n v="245"/>
    <x v="1"/>
    <x v="3"/>
  </r>
  <r>
    <x v="48"/>
    <x v="1"/>
    <s v="No"/>
    <s v="3.7/5"/>
    <x v="2"/>
    <n v="21"/>
    <x v="6"/>
    <x v="3"/>
  </r>
  <r>
    <x v="49"/>
    <x v="0"/>
    <s v="No"/>
    <s v="4.1/5"/>
    <x v="0"/>
    <n v="28"/>
    <x v="12"/>
    <x v="3"/>
  </r>
  <r>
    <x v="50"/>
    <x v="1"/>
    <s v="No"/>
    <s v="4.3/5"/>
    <x v="14"/>
    <n v="345"/>
    <x v="8"/>
    <x v="3"/>
  </r>
  <r>
    <x v="51"/>
    <x v="0"/>
    <s v="No"/>
    <s v="4.0/5"/>
    <x v="5"/>
    <n v="618"/>
    <x v="11"/>
    <x v="3"/>
  </r>
  <r>
    <x v="52"/>
    <x v="1"/>
    <s v="No"/>
    <s v="4.0/5"/>
    <x v="5"/>
    <n v="1047"/>
    <x v="6"/>
    <x v="3"/>
  </r>
  <r>
    <x v="53"/>
    <x v="0"/>
    <s v="No"/>
    <s v="3.9/5"/>
    <x v="7"/>
    <n v="627"/>
    <x v="6"/>
    <x v="3"/>
  </r>
  <r>
    <x v="54"/>
    <x v="0"/>
    <s v="No"/>
    <s v="3.8/5"/>
    <x v="1"/>
    <n v="104"/>
    <x v="1"/>
    <x v="3"/>
  </r>
  <r>
    <x v="55"/>
    <x v="0"/>
    <s v="Yes"/>
    <s v="4.2/5"/>
    <x v="6"/>
    <n v="354"/>
    <x v="0"/>
    <x v="2"/>
  </r>
  <r>
    <x v="56"/>
    <x v="1"/>
    <s v="No"/>
    <s v="3.6/5"/>
    <x v="3"/>
    <n v="55"/>
    <x v="10"/>
    <x v="3"/>
  </r>
  <r>
    <x v="57"/>
    <x v="0"/>
    <s v="No"/>
    <s v="3.7/5"/>
    <x v="2"/>
    <n v="17"/>
    <x v="8"/>
    <x v="3"/>
  </r>
  <r>
    <x v="58"/>
    <x v="1"/>
    <s v="No"/>
    <s v="4.2/5"/>
    <x v="6"/>
    <n v="244"/>
    <x v="0"/>
    <x v="2"/>
  </r>
  <r>
    <x v="59"/>
    <x v="0"/>
    <s v="Yes"/>
    <s v="3.6/5"/>
    <x v="3"/>
    <n v="163"/>
    <x v="0"/>
    <x v="3"/>
  </r>
  <r>
    <x v="60"/>
    <x v="0"/>
    <s v="No"/>
    <s v="3.8/5"/>
    <x v="1"/>
    <n v="58"/>
    <x v="12"/>
    <x v="3"/>
  </r>
  <r>
    <x v="61"/>
    <x v="1"/>
    <s v="Yes"/>
    <s v="4.0/5"/>
    <x v="5"/>
    <n v="808"/>
    <x v="13"/>
    <x v="3"/>
  </r>
  <r>
    <x v="62"/>
    <x v="1"/>
    <s v="No"/>
    <s v="3.7/5"/>
    <x v="2"/>
    <n v="78"/>
    <x v="12"/>
    <x v="3"/>
  </r>
  <r>
    <x v="63"/>
    <x v="0"/>
    <s v="No"/>
    <s v="4.1/5"/>
    <x v="0"/>
    <n v="1720"/>
    <x v="8"/>
    <x v="3"/>
  </r>
  <r>
    <x v="64"/>
    <x v="0"/>
    <s v="No"/>
    <s v="3.6/5"/>
    <x v="3"/>
    <n v="34"/>
    <x v="14"/>
    <x v="3"/>
  </r>
  <r>
    <x v="65"/>
    <x v="1"/>
    <s v="No"/>
    <s v="4.1/5"/>
    <x v="0"/>
    <n v="868"/>
    <x v="3"/>
    <x v="3"/>
  </r>
  <r>
    <x v="66"/>
    <x v="1"/>
    <s v="No"/>
    <s v="3.8/5"/>
    <x v="1"/>
    <n v="39"/>
    <x v="1"/>
    <x v="3"/>
  </r>
  <r>
    <x v="67"/>
    <x v="0"/>
    <s v="No"/>
    <s v="3.2/5"/>
    <x v="10"/>
    <n v="71"/>
    <x v="2"/>
    <x v="3"/>
  </r>
  <r>
    <x v="68"/>
    <x v="0"/>
    <s v="No"/>
    <s v="3.6/5"/>
    <x v="3"/>
    <n v="6"/>
    <x v="5"/>
    <x v="3"/>
  </r>
  <r>
    <x v="69"/>
    <x v="1"/>
    <s v="No"/>
    <s v="4.1/5"/>
    <x v="0"/>
    <n v="520"/>
    <x v="1"/>
    <x v="3"/>
  </r>
  <r>
    <x v="70"/>
    <x v="1"/>
    <s v="No"/>
    <s v="4.1/5"/>
    <x v="0"/>
    <n v="0"/>
    <x v="12"/>
    <x v="3"/>
  </r>
  <r>
    <x v="71"/>
    <x v="1"/>
    <s v="No"/>
    <s v="2.9/5"/>
    <x v="15"/>
    <n v="84"/>
    <x v="3"/>
    <x v="2"/>
  </r>
  <r>
    <x v="72"/>
    <x v="1"/>
    <s v="No"/>
    <s v="3.6/5"/>
    <x v="3"/>
    <n v="299"/>
    <x v="1"/>
    <x v="3"/>
  </r>
  <r>
    <x v="73"/>
    <x v="1"/>
    <s v="No"/>
    <s v="3.6/5"/>
    <x v="3"/>
    <n v="0"/>
    <x v="5"/>
    <x v="3"/>
  </r>
  <r>
    <x v="74"/>
    <x v="0"/>
    <s v="No"/>
    <s v="4.1/5"/>
    <x v="0"/>
    <n v="558"/>
    <x v="12"/>
    <x v="3"/>
  </r>
  <r>
    <x v="75"/>
    <x v="0"/>
    <s v="No"/>
    <s v="3.6/5"/>
    <x v="3"/>
    <n v="28"/>
    <x v="1"/>
    <x v="3"/>
  </r>
  <r>
    <x v="76"/>
    <x v="1"/>
    <s v="No"/>
    <s v="3.7/5"/>
    <x v="2"/>
    <n v="22"/>
    <x v="5"/>
    <x v="3"/>
  </r>
  <r>
    <x v="77"/>
    <x v="1"/>
    <s v="No"/>
    <s v="3.8/5"/>
    <x v="1"/>
    <n v="39"/>
    <x v="15"/>
    <x v="3"/>
  </r>
  <r>
    <x v="78"/>
    <x v="0"/>
    <s v="No"/>
    <s v="3.8/5"/>
    <x v="1"/>
    <n v="153"/>
    <x v="5"/>
    <x v="3"/>
  </r>
  <r>
    <x v="79"/>
    <x v="0"/>
    <s v="No"/>
    <s v="4.2/5"/>
    <x v="6"/>
    <n v="146"/>
    <x v="8"/>
    <x v="3"/>
  </r>
  <r>
    <x v="80"/>
    <x v="1"/>
    <s v="No"/>
    <s v="3.5/5"/>
    <x v="16"/>
    <n v="14"/>
    <x v="10"/>
    <x v="3"/>
  </r>
  <r>
    <x v="81"/>
    <x v="1"/>
    <s v="No"/>
    <s v="3.8/5"/>
    <x v="1"/>
    <n v="42"/>
    <x v="3"/>
    <x v="3"/>
  </r>
  <r>
    <x v="82"/>
    <x v="1"/>
    <s v="No"/>
    <s v="3.8/5"/>
    <x v="1"/>
    <n v="0"/>
    <x v="14"/>
    <x v="3"/>
  </r>
  <r>
    <x v="83"/>
    <x v="1"/>
    <s v="No"/>
    <s v="4.0/5"/>
    <x v="5"/>
    <n v="66"/>
    <x v="1"/>
    <x v="3"/>
  </r>
  <r>
    <x v="84"/>
    <x v="0"/>
    <s v="No"/>
    <s v="4.4/5"/>
    <x v="13"/>
    <n v="4401"/>
    <x v="2"/>
    <x v="3"/>
  </r>
  <r>
    <x v="85"/>
    <x v="1"/>
    <s v="No"/>
    <s v="3.5/5"/>
    <x v="16"/>
    <n v="31"/>
    <x v="10"/>
    <x v="3"/>
  </r>
  <r>
    <x v="86"/>
    <x v="1"/>
    <s v="No"/>
    <s v="3.5/5"/>
    <x v="16"/>
    <n v="7"/>
    <x v="5"/>
    <x v="3"/>
  </r>
  <r>
    <x v="87"/>
    <x v="1"/>
    <s v="No"/>
    <s v="3.7/5"/>
    <x v="2"/>
    <n v="21"/>
    <x v="16"/>
    <x v="3"/>
  </r>
  <r>
    <x v="88"/>
    <x v="1"/>
    <s v="No"/>
    <s v="3.7/5"/>
    <x v="2"/>
    <n v="0"/>
    <x v="5"/>
    <x v="3"/>
  </r>
  <r>
    <x v="89"/>
    <x v="1"/>
    <s v="No"/>
    <s v="3.7/5"/>
    <x v="2"/>
    <n v="0"/>
    <x v="8"/>
    <x v="3"/>
  </r>
  <r>
    <x v="90"/>
    <x v="1"/>
    <s v="No"/>
    <s v="3.7/5"/>
    <x v="2"/>
    <n v="0"/>
    <x v="10"/>
    <x v="3"/>
  </r>
  <r>
    <x v="91"/>
    <x v="1"/>
    <s v="No"/>
    <s v="3.2/5"/>
    <x v="10"/>
    <n v="9"/>
    <x v="1"/>
    <x v="3"/>
  </r>
  <r>
    <x v="92"/>
    <x v="1"/>
    <s v="No"/>
    <s v="2.6/5"/>
    <x v="17"/>
    <n v="283"/>
    <x v="2"/>
    <x v="3"/>
  </r>
  <r>
    <x v="93"/>
    <x v="1"/>
    <s v="No"/>
    <s v="3.3/5"/>
    <x v="11"/>
    <n v="62"/>
    <x v="0"/>
    <x v="3"/>
  </r>
  <r>
    <x v="94"/>
    <x v="1"/>
    <s v="No"/>
    <s v="3.8/5"/>
    <x v="1"/>
    <n v="64"/>
    <x v="16"/>
    <x v="3"/>
  </r>
  <r>
    <x v="95"/>
    <x v="1"/>
    <s v="No"/>
    <s v="3.7/5"/>
    <x v="2"/>
    <n v="39"/>
    <x v="17"/>
    <x v="3"/>
  </r>
  <r>
    <x v="96"/>
    <x v="1"/>
    <s v="No"/>
    <s v="3.7/5"/>
    <x v="2"/>
    <n v="65"/>
    <x v="1"/>
    <x v="3"/>
  </r>
  <r>
    <x v="97"/>
    <x v="0"/>
    <s v="No"/>
    <s v="3.8/5"/>
    <x v="1"/>
    <n v="71"/>
    <x v="8"/>
    <x v="3"/>
  </r>
  <r>
    <x v="98"/>
    <x v="1"/>
    <s v="No"/>
    <s v="3.5/5"/>
    <x v="16"/>
    <n v="52"/>
    <x v="1"/>
    <x v="3"/>
  </r>
  <r>
    <x v="99"/>
    <x v="1"/>
    <s v="No"/>
    <s v="3.7/5"/>
    <x v="2"/>
    <n v="130"/>
    <x v="10"/>
    <x v="3"/>
  </r>
  <r>
    <x v="100"/>
    <x v="1"/>
    <s v="No"/>
    <s v="3.5/5"/>
    <x v="16"/>
    <n v="10"/>
    <x v="1"/>
    <x v="3"/>
  </r>
  <r>
    <x v="101"/>
    <x v="1"/>
    <s v="No"/>
    <s v="3.8 /5"/>
    <x v="1"/>
    <n v="45"/>
    <x v="8"/>
    <x v="3"/>
  </r>
  <r>
    <x v="24"/>
    <x v="1"/>
    <s v="No"/>
    <s v="3.2/5"/>
    <x v="10"/>
    <n v="11"/>
    <x v="2"/>
    <x v="3"/>
  </r>
  <r>
    <x v="102"/>
    <x v="1"/>
    <s v="No"/>
    <s v="3.5/5"/>
    <x v="16"/>
    <n v="13"/>
    <x v="1"/>
    <x v="3"/>
  </r>
  <r>
    <x v="103"/>
    <x v="1"/>
    <s v="No"/>
    <s v="3.4/5"/>
    <x v="18"/>
    <n v="8"/>
    <x v="1"/>
    <x v="3"/>
  </r>
  <r>
    <x v="104"/>
    <x v="1"/>
    <s v="No"/>
    <s v="3.4/5"/>
    <x v="18"/>
    <n v="0"/>
    <x v="16"/>
    <x v="3"/>
  </r>
  <r>
    <x v="105"/>
    <x v="1"/>
    <s v="No"/>
    <s v="3.2/5"/>
    <x v="10"/>
    <n v="9"/>
    <x v="1"/>
    <x v="3"/>
  </r>
  <r>
    <x v="106"/>
    <x v="1"/>
    <s v="No"/>
    <s v="3.2/5"/>
    <x v="10"/>
    <n v="4"/>
    <x v="1"/>
    <x v="3"/>
  </r>
  <r>
    <x v="107"/>
    <x v="1"/>
    <s v="No"/>
    <s v="3.2/5"/>
    <x v="10"/>
    <n v="0"/>
    <x v="10"/>
    <x v="3"/>
  </r>
  <r>
    <x v="108"/>
    <x v="1"/>
    <s v="No"/>
    <s v="3.1/5"/>
    <x v="8"/>
    <n v="29"/>
    <x v="12"/>
    <x v="3"/>
  </r>
  <r>
    <x v="109"/>
    <x v="1"/>
    <s v="No"/>
    <s v="3.4/5"/>
    <x v="18"/>
    <n v="8"/>
    <x v="8"/>
    <x v="3"/>
  </r>
  <r>
    <x v="110"/>
    <x v="1"/>
    <s v="No"/>
    <s v="3.4/5"/>
    <x v="18"/>
    <n v="0"/>
    <x v="12"/>
    <x v="3"/>
  </r>
  <r>
    <x v="111"/>
    <x v="1"/>
    <s v="No"/>
    <s v="3.4/5"/>
    <x v="18"/>
    <n v="0"/>
    <x v="1"/>
    <x v="3"/>
  </r>
  <r>
    <x v="112"/>
    <x v="1"/>
    <s v="No"/>
    <s v="3.4/5"/>
    <x v="18"/>
    <n v="0"/>
    <x v="10"/>
    <x v="3"/>
  </r>
  <r>
    <x v="113"/>
    <x v="1"/>
    <s v="No"/>
    <s v="3.4/5"/>
    <x v="18"/>
    <n v="0"/>
    <x v="12"/>
    <x v="3"/>
  </r>
  <r>
    <x v="114"/>
    <x v="1"/>
    <s v="No"/>
    <s v="3.4/5"/>
    <x v="18"/>
    <n v="0"/>
    <x v="12"/>
    <x v="3"/>
  </r>
  <r>
    <x v="115"/>
    <x v="1"/>
    <s v="No"/>
    <s v="3.4/5"/>
    <x v="18"/>
    <n v="0"/>
    <x v="16"/>
    <x v="3"/>
  </r>
  <r>
    <x v="116"/>
    <x v="1"/>
    <s v="No"/>
    <s v="3.1/5"/>
    <x v="8"/>
    <n v="30"/>
    <x v="9"/>
    <x v="3"/>
  </r>
  <r>
    <x v="117"/>
    <x v="0"/>
    <s v="No"/>
    <s v="4.1/5"/>
    <x v="0"/>
    <n v="201"/>
    <x v="1"/>
    <x v="3"/>
  </r>
  <r>
    <x v="118"/>
    <x v="1"/>
    <s v="No"/>
    <s v="3.3/5"/>
    <x v="11"/>
    <n v="7"/>
    <x v="10"/>
    <x v="3"/>
  </r>
  <r>
    <x v="119"/>
    <x v="1"/>
    <s v="No"/>
    <s v="3.1/5"/>
    <x v="8"/>
    <n v="6"/>
    <x v="14"/>
    <x v="3"/>
  </r>
  <r>
    <x v="120"/>
    <x v="1"/>
    <s v="No"/>
    <s v="3.3/5"/>
    <x v="11"/>
    <n v="17"/>
    <x v="10"/>
    <x v="3"/>
  </r>
  <r>
    <x v="121"/>
    <x v="1"/>
    <s v="No"/>
    <s v="2.9/5"/>
    <x v="15"/>
    <n v="25"/>
    <x v="10"/>
    <x v="3"/>
  </r>
  <r>
    <x v="122"/>
    <x v="1"/>
    <s v="No"/>
    <s v="2.9/5"/>
    <x v="15"/>
    <n v="0"/>
    <x v="8"/>
    <x v="3"/>
  </r>
  <r>
    <x v="123"/>
    <x v="1"/>
    <s v="No"/>
    <s v="2.9/5"/>
    <x v="15"/>
    <n v="0"/>
    <x v="15"/>
    <x v="3"/>
  </r>
  <r>
    <x v="124"/>
    <x v="1"/>
    <s v="No"/>
    <s v="3.3/5"/>
    <x v="11"/>
    <n v="8"/>
    <x v="14"/>
    <x v="3"/>
  </r>
  <r>
    <x v="125"/>
    <x v="1"/>
    <s v="No"/>
    <s v="3.3/5"/>
    <x v="11"/>
    <n v="0"/>
    <x v="12"/>
    <x v="3"/>
  </r>
  <r>
    <x v="126"/>
    <x v="1"/>
    <s v="No"/>
    <s v="3.4/5"/>
    <x v="18"/>
    <n v="0"/>
    <x v="12"/>
    <x v="3"/>
  </r>
  <r>
    <x v="127"/>
    <x v="1"/>
    <s v="No"/>
    <s v="3.4/5"/>
    <x v="18"/>
    <n v="0"/>
    <x v="10"/>
    <x v="3"/>
  </r>
  <r>
    <x v="128"/>
    <x v="1"/>
    <s v="No"/>
    <s v="3.4/5"/>
    <x v="18"/>
    <n v="0"/>
    <x v="14"/>
    <x v="3"/>
  </r>
  <r>
    <x v="129"/>
    <x v="1"/>
    <s v="No"/>
    <s v="3.1/5"/>
    <x v="8"/>
    <n v="0"/>
    <x v="8"/>
    <x v="3"/>
  </r>
  <r>
    <x v="130"/>
    <x v="1"/>
    <s v="No"/>
    <s v="4.1/5"/>
    <x v="0"/>
    <n v="0"/>
    <x v="10"/>
    <x v="3"/>
  </r>
  <r>
    <x v="131"/>
    <x v="1"/>
    <s v="No"/>
    <s v="3.3/5"/>
    <x v="11"/>
    <n v="0"/>
    <x v="12"/>
    <x v="3"/>
  </r>
  <r>
    <x v="132"/>
    <x v="1"/>
    <s v="No"/>
    <s v="3.1/5"/>
    <x v="8"/>
    <n v="0"/>
    <x v="8"/>
    <x v="3"/>
  </r>
  <r>
    <x v="133"/>
    <x v="1"/>
    <s v="No"/>
    <s v="3.3/5"/>
    <x v="11"/>
    <n v="0"/>
    <x v="12"/>
    <x v="3"/>
  </r>
  <r>
    <x v="134"/>
    <x v="1"/>
    <s v="No"/>
    <s v="2.9/5"/>
    <x v="15"/>
    <n v="0"/>
    <x v="16"/>
    <x v="3"/>
  </r>
  <r>
    <x v="135"/>
    <x v="1"/>
    <s v="No"/>
    <s v="2.9/5"/>
    <x v="15"/>
    <n v="0"/>
    <x v="16"/>
    <x v="3"/>
  </r>
  <r>
    <x v="136"/>
    <x v="1"/>
    <s v="No"/>
    <s v="2.9/5"/>
    <x v="15"/>
    <n v="0"/>
    <x v="12"/>
    <x v="3"/>
  </r>
  <r>
    <x v="137"/>
    <x v="1"/>
    <s v="No"/>
    <s v="3.3/5"/>
    <x v="11"/>
    <n v="0"/>
    <x v="10"/>
    <x v="3"/>
  </r>
  <r>
    <x v="138"/>
    <x v="1"/>
    <s v="No"/>
    <s v="3.3/5"/>
    <x v="11"/>
    <n v="0"/>
    <x v="15"/>
    <x v="3"/>
  </r>
  <r>
    <x v="139"/>
    <x v="1"/>
    <s v="No"/>
    <s v="3.3/5"/>
    <x v="11"/>
    <n v="0"/>
    <x v="1"/>
    <x v="3"/>
  </r>
  <r>
    <x v="140"/>
    <x v="1"/>
    <s v="No"/>
    <s v="3.3/5"/>
    <x v="11"/>
    <n v="0"/>
    <x v="14"/>
    <x v="3"/>
  </r>
  <r>
    <x v="141"/>
    <x v="1"/>
    <s v="No"/>
    <s v="3.3/5"/>
    <x v="11"/>
    <n v="0"/>
    <x v="12"/>
    <x v="3"/>
  </r>
  <r>
    <x v="142"/>
    <x v="0"/>
    <s v="No"/>
    <s v="4.0/5"/>
    <x v="5"/>
    <n v="771"/>
    <x v="6"/>
    <x v="3"/>
  </r>
  <r>
    <x v="143"/>
    <x v="1"/>
    <s v="No"/>
    <s v="3.0/5"/>
    <x v="9"/>
    <n v="98"/>
    <x v="0"/>
    <x v="3"/>
  </r>
  <r>
    <x v="144"/>
    <x v="0"/>
    <s v="No"/>
    <s v="3.9/5"/>
    <x v="7"/>
    <n v="47"/>
    <x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B7" firstHeaderRow="1" firstDataRow="1" firstDataCol="1"/>
  <pivotFields count="8">
    <pivotField dataField="1" showAll="0"/>
    <pivotField showAll="0"/>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7"/>
  </rowFields>
  <rowItems count="5">
    <i>
      <x v="2"/>
    </i>
    <i>
      <x v="1"/>
    </i>
    <i>
      <x v="3"/>
    </i>
    <i>
      <x/>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8" firstHeaderRow="1" firstDataRow="1" firstDataCol="1"/>
  <pivotFields count="8">
    <pivotField showAll="0"/>
    <pivotField showAll="0"/>
    <pivotField showAll="0"/>
    <pivotField showAll="0"/>
    <pivotField showAll="0"/>
    <pivotField dataField="1"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7"/>
  </rowFields>
  <rowItems count="5">
    <i>
      <x v="2"/>
    </i>
    <i>
      <x v="3"/>
    </i>
    <i>
      <x v="1"/>
    </i>
    <i>
      <x/>
    </i>
    <i t="grand">
      <x/>
    </i>
  </rowItems>
  <colItems count="1">
    <i/>
  </colItems>
  <dataFields count="1">
    <dataField name="Sum of vot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6" firstHeaderRow="1" firstDataRow="1" firstDataCol="1"/>
  <pivotFields count="8">
    <pivotField dataField="1" showAll="0"/>
    <pivotField axis="axisRow" showAll="0">
      <items count="3">
        <item x="1"/>
        <item x="0"/>
        <item t="default"/>
      </items>
    </pivotField>
    <pivotField showAll="0"/>
    <pivotField showAll="0"/>
    <pivotField showAll="0">
      <items count="20">
        <item x="17"/>
        <item x="12"/>
        <item x="15"/>
        <item x="9"/>
        <item x="8"/>
        <item x="10"/>
        <item x="11"/>
        <item x="18"/>
        <item x="16"/>
        <item x="3"/>
        <item x="2"/>
        <item x="1"/>
        <item x="7"/>
        <item x="5"/>
        <item x="0"/>
        <item x="6"/>
        <item x="14"/>
        <item x="13"/>
        <item x="4"/>
        <item t="default"/>
      </items>
    </pivotField>
    <pivotField showAll="0"/>
    <pivotField showAll="0"/>
    <pivotField showAll="0">
      <items count="5">
        <item x="0"/>
        <item x="1"/>
        <item x="3"/>
        <item x="2"/>
        <item t="default"/>
      </items>
    </pivotField>
  </pivotFields>
  <rowFields count="1">
    <field x="1"/>
  </rowFields>
  <rowItems count="3">
    <i>
      <x/>
    </i>
    <i>
      <x v="1"/>
    </i>
    <i t="grand">
      <x/>
    </i>
  </rowItems>
  <colItems count="1">
    <i/>
  </colItems>
  <dataFields count="1">
    <dataField name="Count of name"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3" firstHeaderRow="1" firstDataRow="1" firstDataCol="1"/>
  <pivotFields count="8">
    <pivotField showAll="0"/>
    <pivotField showAll="0"/>
    <pivotField showAll="0"/>
    <pivotField showAll="0"/>
    <pivotField axis="axisRow" dataField="1" showAll="0">
      <items count="20">
        <item x="17"/>
        <item x="12"/>
        <item x="15"/>
        <item x="9"/>
        <item x="8"/>
        <item x="10"/>
        <item x="11"/>
        <item x="18"/>
        <item x="16"/>
        <item x="3"/>
        <item x="2"/>
        <item x="1"/>
        <item x="7"/>
        <item x="5"/>
        <item x="0"/>
        <item x="6"/>
        <item x="14"/>
        <item x="13"/>
        <item x="4"/>
        <item t="default"/>
      </items>
    </pivotField>
    <pivotField showAll="0"/>
    <pivotField showAll="0"/>
    <pivotField showAll="0">
      <items count="5">
        <item x="0"/>
        <item x="1"/>
        <item x="3"/>
        <item x="2"/>
        <item t="default"/>
      </items>
    </pivotField>
  </pivotFields>
  <rowFields count="1">
    <field x="4"/>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rate_cleaned" fld="4" subtotal="count"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22" firstHeaderRow="1" firstDataRow="1" firstDataCol="1"/>
  <pivotFields count="8">
    <pivotField showAll="0"/>
    <pivotField showAll="0"/>
    <pivotField showAll="0"/>
    <pivotField showAll="0"/>
    <pivotField showAll="0"/>
    <pivotField showAll="0"/>
    <pivotField axis="axisRow" dataField="1" showAll="0" sortType="descending">
      <items count="19">
        <item x="14"/>
        <item x="12"/>
        <item x="10"/>
        <item x="16"/>
        <item x="1"/>
        <item x="15"/>
        <item x="8"/>
        <item x="6"/>
        <item x="5"/>
        <item x="4"/>
        <item x="2"/>
        <item x="7"/>
        <item x="3"/>
        <item x="11"/>
        <item x="0"/>
        <item x="13"/>
        <item x="9"/>
        <item x="17"/>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s>
  <rowFields count="1">
    <field x="6"/>
  </rowFields>
  <rowItems count="19">
    <i>
      <x v="4"/>
    </i>
    <i>
      <x v="2"/>
    </i>
    <i>
      <x v="1"/>
    </i>
    <i>
      <x v="6"/>
    </i>
    <i>
      <x v="8"/>
    </i>
    <i>
      <x v="10"/>
    </i>
    <i>
      <x v="14"/>
    </i>
    <i>
      <x/>
    </i>
    <i>
      <x v="7"/>
    </i>
    <i>
      <x v="3"/>
    </i>
    <i>
      <x v="12"/>
    </i>
    <i>
      <x v="9"/>
    </i>
    <i>
      <x v="13"/>
    </i>
    <i>
      <x v="5"/>
    </i>
    <i>
      <x v="15"/>
    </i>
    <i>
      <x v="16"/>
    </i>
    <i>
      <x v="11"/>
    </i>
    <i>
      <x v="17"/>
    </i>
    <i t="grand">
      <x/>
    </i>
  </rowItems>
  <colItems count="1">
    <i/>
  </colItems>
  <dataFields count="1">
    <dataField name="Count of approx_cost(for two people)" fld="6" subtotal="count" baseField="6" baseItem="1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6" firstHeaderRow="1" firstDataRow="1" firstDataCol="1"/>
  <pivotFields count="8">
    <pivotField showAll="0"/>
    <pivotField axis="axisRow" showAll="0">
      <items count="3">
        <item x="1"/>
        <item x="0"/>
        <item t="default"/>
      </items>
    </pivotField>
    <pivotField showAll="0"/>
    <pivotField showAll="0"/>
    <pivotField dataField="1" showAll="0"/>
    <pivotField showAll="0"/>
    <pivotField showAll="0"/>
    <pivotField showAll="0">
      <items count="5">
        <item x="0"/>
        <item x="1"/>
        <item x="3"/>
        <item x="2"/>
        <item t="default"/>
      </items>
    </pivotField>
  </pivotFields>
  <rowFields count="1">
    <field x="1"/>
  </rowFields>
  <rowItems count="3">
    <i>
      <x/>
    </i>
    <i>
      <x v="1"/>
    </i>
    <i t="grand">
      <x/>
    </i>
  </rowItems>
  <colItems count="1">
    <i/>
  </colItems>
  <dataFields count="1">
    <dataField name="Average of rate_cleaned" fld="4"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8" firstHeaderRow="1" firstDataRow="1" firstDataCol="1" rowPageCount="1" colPageCount="1"/>
  <pivotFields count="8">
    <pivotField dataField="1" showAll="0"/>
    <pivotField axis="axisPage" showAll="0">
      <items count="3">
        <item x="1"/>
        <item x="0"/>
        <item t="default"/>
      </items>
    </pivotField>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7"/>
  </rowFields>
  <rowItems count="5">
    <i>
      <x v="2"/>
    </i>
    <i>
      <x v="1"/>
    </i>
    <i>
      <x v="3"/>
    </i>
    <i>
      <x/>
    </i>
    <i t="grand">
      <x/>
    </i>
  </rowItems>
  <colItems count="1">
    <i/>
  </colItems>
  <pageFields count="1">
    <pageField fld="1" item="1" hier="-1"/>
  </pageFields>
  <dataFields count="1">
    <dataField name="Count of name"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8" firstHeaderRow="1" firstDataRow="1" firstDataCol="1"/>
  <pivotFields count="8">
    <pivotField axis="axisRow" showAll="0" measureFilter="1" sortType="ascending">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0"/>
  </rowFields>
  <rowItems count="5">
    <i>
      <x v="107"/>
    </i>
    <i>
      <x v="82"/>
    </i>
    <i>
      <x v="41"/>
    </i>
    <i>
      <x v="92"/>
    </i>
    <i t="grand">
      <x/>
    </i>
  </rowItems>
  <colItems count="1">
    <i/>
  </colItems>
  <dataFields count="1">
    <dataField name="Sum of votes" fld="5"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8" firstHeaderRow="1" firstDataRow="1" firstDataCol="1"/>
  <pivotFields count="8">
    <pivotField showAll="0"/>
    <pivotField showAll="0"/>
    <pivotField showAll="0"/>
    <pivotField showAll="0"/>
    <pivotField showAll="0"/>
    <pivotField dataField="1"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7"/>
  </rowFields>
  <rowItems count="5">
    <i>
      <x v="2"/>
    </i>
    <i>
      <x v="3"/>
    </i>
    <i>
      <x v="1"/>
    </i>
    <i>
      <x/>
    </i>
    <i t="grand">
      <x/>
    </i>
  </rowItems>
  <colItems count="1">
    <i/>
  </colItems>
  <dataFields count="1">
    <dataField name="Sum of vot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isted_in_type" sourceName="listed_in(type)">
  <pivotTables>
    <pivotTable tabId="2" name="PivotTable1"/>
    <pivotTable tabId="3" name="PivotTable2"/>
    <pivotTable tabId="4" name="PivotTable3"/>
    <pivotTable tabId="5" name="PivotTable4"/>
    <pivotTable tabId="6" name="PivotTable5"/>
    <pivotTable tabId="7" name="PivotTable6"/>
    <pivotTable tabId="8" name="PivotTable7"/>
    <pivotTable tabId="9" name="PivotTable8"/>
    <pivotTable tabId="10" name="PivotTable9"/>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isted_in(type)" cache="Slicer_listed_in_type" caption="Restaurant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9"/>
  <sheetViews>
    <sheetView workbookViewId="0">
      <selection activeCell="E14" sqref="E14"/>
    </sheetView>
  </sheetViews>
  <sheetFormatPr defaultRowHeight="15" x14ac:dyDescent="0.25"/>
  <cols>
    <col min="1" max="1" width="45.85546875" customWidth="1"/>
    <col min="2" max="2" width="13.85546875" customWidth="1"/>
    <col min="3" max="3" width="13.7109375" customWidth="1"/>
    <col min="5" max="5" width="14.42578125" customWidth="1"/>
    <col min="7" max="7" width="26.85546875" bestFit="1" customWidth="1"/>
    <col min="8" max="8" width="15.42578125" customWidth="1"/>
  </cols>
  <sheetData>
    <row r="1" spans="1:8" x14ac:dyDescent="0.25">
      <c r="A1" t="s">
        <v>0</v>
      </c>
      <c r="B1" t="s">
        <v>1</v>
      </c>
      <c r="C1" t="s">
        <v>2</v>
      </c>
      <c r="D1" t="s">
        <v>3</v>
      </c>
      <c r="E1" t="s">
        <v>178</v>
      </c>
      <c r="F1" t="s">
        <v>4</v>
      </c>
      <c r="G1" t="s">
        <v>5</v>
      </c>
      <c r="H1" t="s">
        <v>6</v>
      </c>
    </row>
    <row r="2" spans="1:8" x14ac:dyDescent="0.25">
      <c r="A2" t="s">
        <v>7</v>
      </c>
      <c r="B2" t="s">
        <v>8</v>
      </c>
      <c r="C2" t="s">
        <v>8</v>
      </c>
      <c r="D2" t="s">
        <v>9</v>
      </c>
      <c r="E2">
        <f>VALUE(SUBSTITUTE(D2,"/5",""))</f>
        <v>4.0999999999999996</v>
      </c>
      <c r="F2">
        <v>775</v>
      </c>
      <c r="G2">
        <v>800</v>
      </c>
      <c r="H2" t="s">
        <v>10</v>
      </c>
    </row>
    <row r="3" spans="1:8" x14ac:dyDescent="0.25">
      <c r="A3" t="s">
        <v>11</v>
      </c>
      <c r="B3" t="s">
        <v>8</v>
      </c>
      <c r="C3" t="s">
        <v>12</v>
      </c>
      <c r="D3" t="s">
        <v>9</v>
      </c>
      <c r="E3">
        <f t="shared" ref="E3:E66" si="0">VALUE(SUBSTITUTE(D3,"/5",""))</f>
        <v>4.0999999999999996</v>
      </c>
      <c r="F3">
        <v>787</v>
      </c>
      <c r="G3">
        <v>800</v>
      </c>
      <c r="H3" t="s">
        <v>10</v>
      </c>
    </row>
    <row r="4" spans="1:8" x14ac:dyDescent="0.25">
      <c r="A4" t="s">
        <v>13</v>
      </c>
      <c r="B4" t="s">
        <v>8</v>
      </c>
      <c r="C4" t="s">
        <v>12</v>
      </c>
      <c r="D4" t="s">
        <v>14</v>
      </c>
      <c r="E4">
        <f t="shared" si="0"/>
        <v>3.8</v>
      </c>
      <c r="F4">
        <v>918</v>
      </c>
      <c r="G4">
        <v>800</v>
      </c>
      <c r="H4" t="s">
        <v>10</v>
      </c>
    </row>
    <row r="5" spans="1:8" x14ac:dyDescent="0.25">
      <c r="A5" t="s">
        <v>15</v>
      </c>
      <c r="B5" t="s">
        <v>12</v>
      </c>
      <c r="C5" t="s">
        <v>12</v>
      </c>
      <c r="D5" t="s">
        <v>16</v>
      </c>
      <c r="E5">
        <f t="shared" si="0"/>
        <v>3.7</v>
      </c>
      <c r="F5">
        <v>88</v>
      </c>
      <c r="G5">
        <v>300</v>
      </c>
      <c r="H5" t="s">
        <v>10</v>
      </c>
    </row>
    <row r="6" spans="1:8" x14ac:dyDescent="0.25">
      <c r="A6" t="s">
        <v>17</v>
      </c>
      <c r="B6" t="s">
        <v>12</v>
      </c>
      <c r="C6" t="s">
        <v>12</v>
      </c>
      <c r="D6" t="s">
        <v>14</v>
      </c>
      <c r="E6">
        <f>VALUE(SUBSTITUTE(D6,"/5",""))</f>
        <v>3.8</v>
      </c>
      <c r="F6">
        <v>166</v>
      </c>
      <c r="G6">
        <v>600</v>
      </c>
      <c r="H6" t="s">
        <v>10</v>
      </c>
    </row>
    <row r="7" spans="1:8" x14ac:dyDescent="0.25">
      <c r="A7" t="s">
        <v>18</v>
      </c>
      <c r="B7" t="s">
        <v>8</v>
      </c>
      <c r="C7" t="s">
        <v>12</v>
      </c>
      <c r="D7" t="s">
        <v>14</v>
      </c>
      <c r="E7">
        <f t="shared" si="0"/>
        <v>3.8</v>
      </c>
      <c r="F7">
        <v>286</v>
      </c>
      <c r="G7">
        <v>600</v>
      </c>
      <c r="H7" t="s">
        <v>10</v>
      </c>
    </row>
    <row r="8" spans="1:8" x14ac:dyDescent="0.25">
      <c r="A8" t="s">
        <v>19</v>
      </c>
      <c r="B8" t="s">
        <v>12</v>
      </c>
      <c r="C8" t="s">
        <v>12</v>
      </c>
      <c r="D8" t="s">
        <v>20</v>
      </c>
      <c r="E8">
        <f t="shared" si="0"/>
        <v>3.6</v>
      </c>
      <c r="F8">
        <v>8</v>
      </c>
      <c r="G8">
        <v>800</v>
      </c>
      <c r="H8" t="s">
        <v>10</v>
      </c>
    </row>
    <row r="9" spans="1:8" x14ac:dyDescent="0.25">
      <c r="A9" t="s">
        <v>21</v>
      </c>
      <c r="B9" t="s">
        <v>8</v>
      </c>
      <c r="C9" t="s">
        <v>8</v>
      </c>
      <c r="D9" t="s">
        <v>22</v>
      </c>
      <c r="E9">
        <f t="shared" si="0"/>
        <v>4.5999999999999996</v>
      </c>
      <c r="F9">
        <v>2556</v>
      </c>
      <c r="G9">
        <v>600</v>
      </c>
      <c r="H9" t="s">
        <v>23</v>
      </c>
    </row>
    <row r="10" spans="1:8" x14ac:dyDescent="0.25">
      <c r="A10" t="s">
        <v>24</v>
      </c>
      <c r="B10" t="s">
        <v>8</v>
      </c>
      <c r="C10" t="s">
        <v>12</v>
      </c>
      <c r="D10" t="s">
        <v>25</v>
      </c>
      <c r="E10">
        <f t="shared" si="0"/>
        <v>4</v>
      </c>
      <c r="F10">
        <v>324</v>
      </c>
      <c r="G10">
        <v>700</v>
      </c>
      <c r="H10" t="s">
        <v>26</v>
      </c>
    </row>
    <row r="11" spans="1:8" x14ac:dyDescent="0.25">
      <c r="A11" t="s">
        <v>27</v>
      </c>
      <c r="B11" t="s">
        <v>8</v>
      </c>
      <c r="C11" t="s">
        <v>12</v>
      </c>
      <c r="D11" t="s">
        <v>28</v>
      </c>
      <c r="E11">
        <f t="shared" si="0"/>
        <v>4.2</v>
      </c>
      <c r="F11">
        <v>504</v>
      </c>
      <c r="G11">
        <v>550</v>
      </c>
      <c r="H11" t="s">
        <v>23</v>
      </c>
    </row>
    <row r="12" spans="1:8" x14ac:dyDescent="0.25">
      <c r="A12" t="s">
        <v>29</v>
      </c>
      <c r="B12" t="s">
        <v>8</v>
      </c>
      <c r="C12" t="s">
        <v>12</v>
      </c>
      <c r="D12" t="s">
        <v>9</v>
      </c>
      <c r="E12">
        <f t="shared" si="0"/>
        <v>4.0999999999999996</v>
      </c>
      <c r="F12">
        <v>402</v>
      </c>
      <c r="G12">
        <v>500</v>
      </c>
      <c r="H12" t="s">
        <v>23</v>
      </c>
    </row>
    <row r="13" spans="1:8" x14ac:dyDescent="0.25">
      <c r="A13" t="s">
        <v>30</v>
      </c>
      <c r="B13" t="s">
        <v>8</v>
      </c>
      <c r="C13" t="s">
        <v>8</v>
      </c>
      <c r="D13" t="s">
        <v>28</v>
      </c>
      <c r="E13">
        <f t="shared" si="0"/>
        <v>4.2</v>
      </c>
      <c r="F13">
        <v>150</v>
      </c>
      <c r="G13">
        <v>600</v>
      </c>
      <c r="H13" t="s">
        <v>23</v>
      </c>
    </row>
    <row r="14" spans="1:8" x14ac:dyDescent="0.25">
      <c r="A14" t="s">
        <v>31</v>
      </c>
      <c r="B14" t="s">
        <v>8</v>
      </c>
      <c r="C14" t="s">
        <v>8</v>
      </c>
      <c r="D14" t="s">
        <v>28</v>
      </c>
      <c r="E14">
        <f t="shared" si="0"/>
        <v>4.2</v>
      </c>
      <c r="F14">
        <v>164</v>
      </c>
      <c r="G14">
        <v>500</v>
      </c>
      <c r="H14" t="s">
        <v>23</v>
      </c>
    </row>
    <row r="15" spans="1:8" x14ac:dyDescent="0.25">
      <c r="A15" t="s">
        <v>32</v>
      </c>
      <c r="B15" t="s">
        <v>12</v>
      </c>
      <c r="C15" t="s">
        <v>12</v>
      </c>
      <c r="D15" t="s">
        <v>25</v>
      </c>
      <c r="E15">
        <f t="shared" si="0"/>
        <v>4</v>
      </c>
      <c r="F15">
        <v>424</v>
      </c>
      <c r="G15">
        <v>450</v>
      </c>
      <c r="H15" t="s">
        <v>23</v>
      </c>
    </row>
    <row r="16" spans="1:8" x14ac:dyDescent="0.25">
      <c r="A16" t="s">
        <v>13</v>
      </c>
      <c r="B16" t="s">
        <v>8</v>
      </c>
      <c r="C16" t="s">
        <v>12</v>
      </c>
      <c r="D16" t="s">
        <v>14</v>
      </c>
      <c r="E16">
        <f t="shared" si="0"/>
        <v>3.8</v>
      </c>
      <c r="F16">
        <v>918</v>
      </c>
      <c r="G16">
        <v>800</v>
      </c>
      <c r="H16" t="s">
        <v>23</v>
      </c>
    </row>
    <row r="17" spans="1:8" x14ac:dyDescent="0.25">
      <c r="A17" t="s">
        <v>33</v>
      </c>
      <c r="B17" t="s">
        <v>8</v>
      </c>
      <c r="C17" t="s">
        <v>12</v>
      </c>
      <c r="D17" t="s">
        <v>14</v>
      </c>
      <c r="E17">
        <f t="shared" si="0"/>
        <v>3.8</v>
      </c>
      <c r="F17">
        <v>90</v>
      </c>
      <c r="G17">
        <v>650</v>
      </c>
      <c r="H17" t="s">
        <v>23</v>
      </c>
    </row>
    <row r="18" spans="1:8" x14ac:dyDescent="0.25">
      <c r="A18" t="s">
        <v>34</v>
      </c>
      <c r="B18" t="s">
        <v>8</v>
      </c>
      <c r="C18" t="s">
        <v>12</v>
      </c>
      <c r="D18" t="s">
        <v>35</v>
      </c>
      <c r="E18">
        <f t="shared" si="0"/>
        <v>3.9</v>
      </c>
      <c r="F18">
        <v>133</v>
      </c>
      <c r="G18">
        <v>800</v>
      </c>
      <c r="H18" t="s">
        <v>23</v>
      </c>
    </row>
    <row r="19" spans="1:8" x14ac:dyDescent="0.25">
      <c r="A19" t="s">
        <v>36</v>
      </c>
      <c r="B19" t="s">
        <v>8</v>
      </c>
      <c r="C19" t="s">
        <v>12</v>
      </c>
      <c r="D19" t="s">
        <v>14</v>
      </c>
      <c r="E19">
        <f t="shared" si="0"/>
        <v>3.8</v>
      </c>
      <c r="F19">
        <v>144</v>
      </c>
      <c r="G19">
        <v>700</v>
      </c>
      <c r="H19" t="s">
        <v>23</v>
      </c>
    </row>
    <row r="20" spans="1:8" x14ac:dyDescent="0.25">
      <c r="A20" t="s">
        <v>37</v>
      </c>
      <c r="B20" t="s">
        <v>12</v>
      </c>
      <c r="C20" t="s">
        <v>12</v>
      </c>
      <c r="D20" t="s">
        <v>35</v>
      </c>
      <c r="E20">
        <f t="shared" si="0"/>
        <v>3.9</v>
      </c>
      <c r="F20">
        <v>93</v>
      </c>
      <c r="G20">
        <v>300</v>
      </c>
      <c r="H20" t="s">
        <v>23</v>
      </c>
    </row>
    <row r="21" spans="1:8" x14ac:dyDescent="0.25">
      <c r="A21" t="s">
        <v>38</v>
      </c>
      <c r="B21" t="s">
        <v>8</v>
      </c>
      <c r="C21" t="s">
        <v>12</v>
      </c>
      <c r="D21" t="s">
        <v>39</v>
      </c>
      <c r="E21">
        <f t="shared" si="0"/>
        <v>3.1</v>
      </c>
      <c r="F21">
        <v>13</v>
      </c>
      <c r="G21">
        <v>400</v>
      </c>
      <c r="H21" t="s">
        <v>23</v>
      </c>
    </row>
    <row r="22" spans="1:8" x14ac:dyDescent="0.25">
      <c r="A22" t="s">
        <v>40</v>
      </c>
      <c r="B22" t="s">
        <v>8</v>
      </c>
      <c r="C22" t="s">
        <v>12</v>
      </c>
      <c r="D22" t="s">
        <v>41</v>
      </c>
      <c r="E22">
        <f t="shared" si="0"/>
        <v>3</v>
      </c>
      <c r="F22">
        <v>62</v>
      </c>
      <c r="G22">
        <v>400</v>
      </c>
      <c r="H22" t="s">
        <v>23</v>
      </c>
    </row>
    <row r="23" spans="1:8" x14ac:dyDescent="0.25">
      <c r="A23" t="s">
        <v>42</v>
      </c>
      <c r="B23" t="s">
        <v>8</v>
      </c>
      <c r="C23" t="s">
        <v>12</v>
      </c>
      <c r="D23" t="s">
        <v>16</v>
      </c>
      <c r="E23">
        <f t="shared" si="0"/>
        <v>3.7</v>
      </c>
      <c r="F23">
        <v>180</v>
      </c>
      <c r="G23">
        <v>500</v>
      </c>
      <c r="H23" t="s">
        <v>23</v>
      </c>
    </row>
    <row r="24" spans="1:8" x14ac:dyDescent="0.25">
      <c r="A24" t="s">
        <v>43</v>
      </c>
      <c r="B24" t="s">
        <v>12</v>
      </c>
      <c r="C24" t="s">
        <v>12</v>
      </c>
      <c r="D24" t="s">
        <v>20</v>
      </c>
      <c r="E24">
        <f t="shared" si="0"/>
        <v>3.6</v>
      </c>
      <c r="F24">
        <v>28</v>
      </c>
      <c r="G24">
        <v>900</v>
      </c>
      <c r="H24" t="s">
        <v>23</v>
      </c>
    </row>
    <row r="25" spans="1:8" x14ac:dyDescent="0.25">
      <c r="A25" t="s">
        <v>44</v>
      </c>
      <c r="B25" t="s">
        <v>8</v>
      </c>
      <c r="C25" t="s">
        <v>12</v>
      </c>
      <c r="D25" t="s">
        <v>20</v>
      </c>
      <c r="E25">
        <f t="shared" si="0"/>
        <v>3.6</v>
      </c>
      <c r="F25">
        <v>62</v>
      </c>
      <c r="G25">
        <v>600</v>
      </c>
      <c r="H25" t="s">
        <v>23</v>
      </c>
    </row>
    <row r="26" spans="1:8" x14ac:dyDescent="0.25">
      <c r="A26" t="s">
        <v>45</v>
      </c>
      <c r="B26" t="s">
        <v>12</v>
      </c>
      <c r="C26" t="s">
        <v>12</v>
      </c>
      <c r="D26" t="s">
        <v>16</v>
      </c>
      <c r="E26">
        <f t="shared" si="0"/>
        <v>3.7</v>
      </c>
      <c r="F26">
        <v>31</v>
      </c>
      <c r="G26">
        <v>300</v>
      </c>
      <c r="H26" t="s">
        <v>23</v>
      </c>
    </row>
    <row r="27" spans="1:8" x14ac:dyDescent="0.25">
      <c r="A27" t="s">
        <v>46</v>
      </c>
      <c r="B27" t="s">
        <v>12</v>
      </c>
      <c r="C27" t="s">
        <v>12</v>
      </c>
      <c r="D27" t="s">
        <v>47</v>
      </c>
      <c r="E27">
        <f t="shared" si="0"/>
        <v>3.2</v>
      </c>
      <c r="F27">
        <v>11</v>
      </c>
      <c r="G27">
        <v>600</v>
      </c>
      <c r="H27" t="s">
        <v>23</v>
      </c>
    </row>
    <row r="28" spans="1:8" x14ac:dyDescent="0.25">
      <c r="A28" t="s">
        <v>48</v>
      </c>
      <c r="B28" t="s">
        <v>8</v>
      </c>
      <c r="C28" t="s">
        <v>12</v>
      </c>
      <c r="D28" t="s">
        <v>14</v>
      </c>
      <c r="E28">
        <f t="shared" si="0"/>
        <v>3.8</v>
      </c>
      <c r="F28">
        <v>75</v>
      </c>
      <c r="G28">
        <v>200</v>
      </c>
      <c r="H28" t="s">
        <v>23</v>
      </c>
    </row>
    <row r="29" spans="1:8" x14ac:dyDescent="0.25">
      <c r="A29" t="s">
        <v>49</v>
      </c>
      <c r="B29" t="s">
        <v>12</v>
      </c>
      <c r="C29" t="s">
        <v>12</v>
      </c>
      <c r="D29" t="s">
        <v>50</v>
      </c>
      <c r="E29">
        <f t="shared" si="0"/>
        <v>3.3</v>
      </c>
      <c r="F29">
        <v>4</v>
      </c>
      <c r="G29">
        <v>500</v>
      </c>
      <c r="H29" t="s">
        <v>23</v>
      </c>
    </row>
    <row r="30" spans="1:8" x14ac:dyDescent="0.25">
      <c r="A30" t="s">
        <v>51</v>
      </c>
      <c r="B30" t="s">
        <v>12</v>
      </c>
      <c r="C30" t="s">
        <v>12</v>
      </c>
      <c r="D30" t="s">
        <v>50</v>
      </c>
      <c r="E30">
        <f t="shared" si="0"/>
        <v>3.3</v>
      </c>
      <c r="F30">
        <v>23</v>
      </c>
      <c r="G30">
        <v>550</v>
      </c>
      <c r="H30" t="s">
        <v>23</v>
      </c>
    </row>
    <row r="31" spans="1:8" x14ac:dyDescent="0.25">
      <c r="A31" t="s">
        <v>52</v>
      </c>
      <c r="B31" t="s">
        <v>12</v>
      </c>
      <c r="C31" t="s">
        <v>12</v>
      </c>
      <c r="D31" t="s">
        <v>14</v>
      </c>
      <c r="E31">
        <f t="shared" si="0"/>
        <v>3.8</v>
      </c>
      <c r="F31">
        <v>148</v>
      </c>
      <c r="G31">
        <v>550</v>
      </c>
      <c r="H31" t="s">
        <v>23</v>
      </c>
    </row>
    <row r="32" spans="1:8" x14ac:dyDescent="0.25">
      <c r="A32" t="s">
        <v>53</v>
      </c>
      <c r="B32" t="s">
        <v>8</v>
      </c>
      <c r="C32" t="s">
        <v>12</v>
      </c>
      <c r="D32" t="s">
        <v>25</v>
      </c>
      <c r="E32">
        <f t="shared" si="0"/>
        <v>4</v>
      </c>
      <c r="F32">
        <v>219</v>
      </c>
      <c r="G32">
        <v>600</v>
      </c>
      <c r="H32" t="s">
        <v>23</v>
      </c>
    </row>
    <row r="33" spans="1:8" x14ac:dyDescent="0.25">
      <c r="A33" t="s">
        <v>54</v>
      </c>
      <c r="B33" t="s">
        <v>8</v>
      </c>
      <c r="C33" t="s">
        <v>12</v>
      </c>
      <c r="D33" t="s">
        <v>55</v>
      </c>
      <c r="E33">
        <f t="shared" si="0"/>
        <v>2.8</v>
      </c>
      <c r="F33">
        <v>506</v>
      </c>
      <c r="G33">
        <v>500</v>
      </c>
      <c r="H33" t="s">
        <v>26</v>
      </c>
    </row>
    <row r="34" spans="1:8" x14ac:dyDescent="0.25">
      <c r="A34" t="s">
        <v>56</v>
      </c>
      <c r="B34" t="s">
        <v>8</v>
      </c>
      <c r="C34" t="s">
        <v>12</v>
      </c>
      <c r="D34" t="s">
        <v>35</v>
      </c>
      <c r="E34">
        <f t="shared" si="0"/>
        <v>3.9</v>
      </c>
      <c r="F34">
        <v>35</v>
      </c>
      <c r="G34">
        <v>500</v>
      </c>
      <c r="H34" t="s">
        <v>57</v>
      </c>
    </row>
    <row r="35" spans="1:8" x14ac:dyDescent="0.25">
      <c r="A35" t="s">
        <v>58</v>
      </c>
      <c r="B35" t="s">
        <v>8</v>
      </c>
      <c r="C35" t="s">
        <v>12</v>
      </c>
      <c r="D35" t="s">
        <v>35</v>
      </c>
      <c r="E35">
        <f t="shared" si="0"/>
        <v>3.9</v>
      </c>
      <c r="F35">
        <v>172</v>
      </c>
      <c r="G35">
        <v>750</v>
      </c>
      <c r="H35" t="s">
        <v>57</v>
      </c>
    </row>
    <row r="36" spans="1:8" x14ac:dyDescent="0.25">
      <c r="A36" t="s">
        <v>59</v>
      </c>
      <c r="B36" t="s">
        <v>8</v>
      </c>
      <c r="C36" t="s">
        <v>12</v>
      </c>
      <c r="D36" t="s">
        <v>28</v>
      </c>
      <c r="E36">
        <f t="shared" si="0"/>
        <v>4.2</v>
      </c>
      <c r="F36">
        <v>415</v>
      </c>
      <c r="G36">
        <v>500</v>
      </c>
      <c r="H36" t="s">
        <v>26</v>
      </c>
    </row>
    <row r="37" spans="1:8" x14ac:dyDescent="0.25">
      <c r="A37" t="s">
        <v>60</v>
      </c>
      <c r="B37" t="s">
        <v>8</v>
      </c>
      <c r="C37" t="s">
        <v>12</v>
      </c>
      <c r="D37" t="s">
        <v>35</v>
      </c>
      <c r="E37">
        <f t="shared" si="0"/>
        <v>3.9</v>
      </c>
      <c r="F37">
        <v>230</v>
      </c>
      <c r="G37">
        <v>650</v>
      </c>
      <c r="H37" t="s">
        <v>57</v>
      </c>
    </row>
    <row r="38" spans="1:8" x14ac:dyDescent="0.25">
      <c r="A38" t="s">
        <v>61</v>
      </c>
      <c r="B38" t="s">
        <v>8</v>
      </c>
      <c r="C38" t="s">
        <v>12</v>
      </c>
      <c r="D38" t="s">
        <v>55</v>
      </c>
      <c r="E38">
        <f t="shared" si="0"/>
        <v>2.8</v>
      </c>
      <c r="F38">
        <v>91</v>
      </c>
      <c r="G38">
        <v>400</v>
      </c>
      <c r="H38" t="s">
        <v>57</v>
      </c>
    </row>
    <row r="39" spans="1:8" x14ac:dyDescent="0.25">
      <c r="A39" t="s">
        <v>62</v>
      </c>
      <c r="B39" t="s">
        <v>8</v>
      </c>
      <c r="C39" t="s">
        <v>12</v>
      </c>
      <c r="D39" t="s">
        <v>28</v>
      </c>
      <c r="E39">
        <f t="shared" si="0"/>
        <v>4.2</v>
      </c>
      <c r="F39">
        <v>1647</v>
      </c>
      <c r="G39">
        <v>600</v>
      </c>
      <c r="H39" t="s">
        <v>57</v>
      </c>
    </row>
    <row r="40" spans="1:8" x14ac:dyDescent="0.25">
      <c r="A40" t="s">
        <v>63</v>
      </c>
      <c r="B40" t="s">
        <v>8</v>
      </c>
      <c r="C40" t="s">
        <v>12</v>
      </c>
      <c r="D40" t="s">
        <v>64</v>
      </c>
      <c r="E40">
        <f t="shared" si="0"/>
        <v>4.4000000000000004</v>
      </c>
      <c r="F40">
        <v>4884</v>
      </c>
      <c r="G40">
        <v>750</v>
      </c>
      <c r="H40" t="s">
        <v>26</v>
      </c>
    </row>
    <row r="41" spans="1:8" x14ac:dyDescent="0.25">
      <c r="A41" t="s">
        <v>65</v>
      </c>
      <c r="B41" t="s">
        <v>8</v>
      </c>
      <c r="C41" t="s">
        <v>12</v>
      </c>
      <c r="D41" t="s">
        <v>25</v>
      </c>
      <c r="E41">
        <f t="shared" si="0"/>
        <v>4</v>
      </c>
      <c r="F41">
        <v>17</v>
      </c>
      <c r="G41">
        <v>150</v>
      </c>
      <c r="H41" t="s">
        <v>57</v>
      </c>
    </row>
    <row r="42" spans="1:8" x14ac:dyDescent="0.25">
      <c r="A42" t="s">
        <v>66</v>
      </c>
      <c r="B42" t="s">
        <v>8</v>
      </c>
      <c r="C42" t="s">
        <v>12</v>
      </c>
      <c r="D42" t="s">
        <v>14</v>
      </c>
      <c r="E42">
        <f t="shared" si="0"/>
        <v>3.8</v>
      </c>
      <c r="F42">
        <v>133</v>
      </c>
      <c r="G42">
        <v>200</v>
      </c>
      <c r="H42" t="s">
        <v>57</v>
      </c>
    </row>
    <row r="43" spans="1:8" x14ac:dyDescent="0.25">
      <c r="A43" t="s">
        <v>67</v>
      </c>
      <c r="B43" t="s">
        <v>12</v>
      </c>
      <c r="C43" t="s">
        <v>12</v>
      </c>
      <c r="D43" t="s">
        <v>35</v>
      </c>
      <c r="E43">
        <f t="shared" si="0"/>
        <v>3.9</v>
      </c>
      <c r="F43">
        <v>28</v>
      </c>
      <c r="G43">
        <v>300</v>
      </c>
      <c r="H43" t="s">
        <v>57</v>
      </c>
    </row>
    <row r="44" spans="1:8" x14ac:dyDescent="0.25">
      <c r="A44" t="s">
        <v>68</v>
      </c>
      <c r="B44" t="s">
        <v>8</v>
      </c>
      <c r="C44" t="s">
        <v>12</v>
      </c>
      <c r="D44" t="s">
        <v>35</v>
      </c>
      <c r="E44">
        <f t="shared" si="0"/>
        <v>3.9</v>
      </c>
      <c r="F44">
        <v>286</v>
      </c>
      <c r="G44">
        <v>500</v>
      </c>
      <c r="H44" t="s">
        <v>57</v>
      </c>
    </row>
    <row r="45" spans="1:8" x14ac:dyDescent="0.25">
      <c r="A45" t="s">
        <v>69</v>
      </c>
      <c r="B45" t="s">
        <v>8</v>
      </c>
      <c r="C45" t="s">
        <v>12</v>
      </c>
      <c r="D45" t="s">
        <v>35</v>
      </c>
      <c r="E45">
        <f t="shared" si="0"/>
        <v>3.9</v>
      </c>
      <c r="F45">
        <v>540</v>
      </c>
      <c r="G45">
        <v>800</v>
      </c>
      <c r="H45" t="s">
        <v>57</v>
      </c>
    </row>
    <row r="46" spans="1:8" x14ac:dyDescent="0.25">
      <c r="A46" t="s">
        <v>21</v>
      </c>
      <c r="B46" t="s">
        <v>8</v>
      </c>
      <c r="C46" t="s">
        <v>8</v>
      </c>
      <c r="D46" t="s">
        <v>22</v>
      </c>
      <c r="E46">
        <f t="shared" si="0"/>
        <v>4.5999999999999996</v>
      </c>
      <c r="F46">
        <v>2556</v>
      </c>
      <c r="G46">
        <v>600</v>
      </c>
      <c r="H46" t="s">
        <v>26</v>
      </c>
    </row>
    <row r="47" spans="1:8" x14ac:dyDescent="0.25">
      <c r="A47" t="s">
        <v>70</v>
      </c>
      <c r="B47" t="s">
        <v>12</v>
      </c>
      <c r="C47" t="s">
        <v>12</v>
      </c>
      <c r="D47" t="s">
        <v>14</v>
      </c>
      <c r="E47">
        <f t="shared" si="0"/>
        <v>3.8</v>
      </c>
      <c r="F47">
        <v>36</v>
      </c>
      <c r="G47">
        <v>400</v>
      </c>
      <c r="H47" t="s">
        <v>57</v>
      </c>
    </row>
    <row r="48" spans="1:8" x14ac:dyDescent="0.25">
      <c r="A48" t="s">
        <v>71</v>
      </c>
      <c r="B48" t="s">
        <v>8</v>
      </c>
      <c r="C48" t="s">
        <v>12</v>
      </c>
      <c r="D48" t="s">
        <v>20</v>
      </c>
      <c r="E48">
        <f t="shared" si="0"/>
        <v>3.6</v>
      </c>
      <c r="F48">
        <v>244</v>
      </c>
      <c r="G48">
        <v>300</v>
      </c>
      <c r="H48" t="s">
        <v>57</v>
      </c>
    </row>
    <row r="49" spans="1:8" x14ac:dyDescent="0.25">
      <c r="A49" t="s">
        <v>72</v>
      </c>
      <c r="B49" t="s">
        <v>8</v>
      </c>
      <c r="C49" t="s">
        <v>12</v>
      </c>
      <c r="D49" t="s">
        <v>25</v>
      </c>
      <c r="E49">
        <f t="shared" si="0"/>
        <v>4</v>
      </c>
      <c r="F49">
        <v>804</v>
      </c>
      <c r="G49">
        <v>450</v>
      </c>
      <c r="H49" t="s">
        <v>57</v>
      </c>
    </row>
    <row r="50" spans="1:8" x14ac:dyDescent="0.25">
      <c r="A50" t="s">
        <v>73</v>
      </c>
      <c r="B50" t="s">
        <v>8</v>
      </c>
      <c r="C50" t="s">
        <v>12</v>
      </c>
      <c r="D50" t="s">
        <v>16</v>
      </c>
      <c r="E50">
        <f t="shared" si="0"/>
        <v>3.7</v>
      </c>
      <c r="F50">
        <v>679</v>
      </c>
      <c r="G50">
        <v>850</v>
      </c>
      <c r="H50" t="s">
        <v>57</v>
      </c>
    </row>
    <row r="51" spans="1:8" x14ac:dyDescent="0.25">
      <c r="A51" t="s">
        <v>74</v>
      </c>
      <c r="B51" t="s">
        <v>8</v>
      </c>
      <c r="C51" t="s">
        <v>12</v>
      </c>
      <c r="D51" t="s">
        <v>39</v>
      </c>
      <c r="E51">
        <f t="shared" si="0"/>
        <v>3.1</v>
      </c>
      <c r="F51">
        <v>245</v>
      </c>
      <c r="G51">
        <v>300</v>
      </c>
      <c r="H51" t="s">
        <v>57</v>
      </c>
    </row>
    <row r="52" spans="1:8" x14ac:dyDescent="0.25">
      <c r="A52" t="s">
        <v>75</v>
      </c>
      <c r="B52" t="s">
        <v>12</v>
      </c>
      <c r="C52" t="s">
        <v>12</v>
      </c>
      <c r="D52" t="s">
        <v>16</v>
      </c>
      <c r="E52">
        <f t="shared" si="0"/>
        <v>3.7</v>
      </c>
      <c r="F52">
        <v>21</v>
      </c>
      <c r="G52">
        <v>450</v>
      </c>
      <c r="H52" t="s">
        <v>57</v>
      </c>
    </row>
    <row r="53" spans="1:8" x14ac:dyDescent="0.25">
      <c r="A53" t="s">
        <v>76</v>
      </c>
      <c r="B53" t="s">
        <v>8</v>
      </c>
      <c r="C53" t="s">
        <v>12</v>
      </c>
      <c r="D53" t="s">
        <v>9</v>
      </c>
      <c r="E53">
        <f t="shared" si="0"/>
        <v>4.0999999999999996</v>
      </c>
      <c r="F53">
        <v>28</v>
      </c>
      <c r="G53">
        <v>150</v>
      </c>
      <c r="H53" t="s">
        <v>57</v>
      </c>
    </row>
    <row r="54" spans="1:8" x14ac:dyDescent="0.25">
      <c r="A54" t="s">
        <v>77</v>
      </c>
      <c r="B54" t="s">
        <v>12</v>
      </c>
      <c r="C54" t="s">
        <v>12</v>
      </c>
      <c r="D54" t="s">
        <v>78</v>
      </c>
      <c r="E54">
        <f t="shared" si="0"/>
        <v>4.3</v>
      </c>
      <c r="F54">
        <v>345</v>
      </c>
      <c r="G54">
        <v>400</v>
      </c>
      <c r="H54" t="s">
        <v>57</v>
      </c>
    </row>
    <row r="55" spans="1:8" x14ac:dyDescent="0.25">
      <c r="A55" t="s">
        <v>79</v>
      </c>
      <c r="B55" t="s">
        <v>8</v>
      </c>
      <c r="C55" t="s">
        <v>12</v>
      </c>
      <c r="D55" t="s">
        <v>25</v>
      </c>
      <c r="E55">
        <f t="shared" si="0"/>
        <v>4</v>
      </c>
      <c r="F55">
        <v>618</v>
      </c>
      <c r="G55">
        <v>750</v>
      </c>
      <c r="H55" t="s">
        <v>57</v>
      </c>
    </row>
    <row r="56" spans="1:8" x14ac:dyDescent="0.25">
      <c r="A56" t="s">
        <v>80</v>
      </c>
      <c r="B56" t="s">
        <v>12</v>
      </c>
      <c r="C56" t="s">
        <v>12</v>
      </c>
      <c r="D56" t="s">
        <v>25</v>
      </c>
      <c r="E56">
        <f t="shared" si="0"/>
        <v>4</v>
      </c>
      <c r="F56">
        <v>1047</v>
      </c>
      <c r="G56">
        <v>450</v>
      </c>
      <c r="H56" t="s">
        <v>57</v>
      </c>
    </row>
    <row r="57" spans="1:8" x14ac:dyDescent="0.25">
      <c r="A57" t="s">
        <v>81</v>
      </c>
      <c r="B57" t="s">
        <v>8</v>
      </c>
      <c r="C57" t="s">
        <v>12</v>
      </c>
      <c r="D57" t="s">
        <v>35</v>
      </c>
      <c r="E57">
        <f t="shared" si="0"/>
        <v>3.9</v>
      </c>
      <c r="F57">
        <v>627</v>
      </c>
      <c r="G57">
        <v>450</v>
      </c>
      <c r="H57" t="s">
        <v>57</v>
      </c>
    </row>
    <row r="58" spans="1:8" x14ac:dyDescent="0.25">
      <c r="A58" t="s">
        <v>82</v>
      </c>
      <c r="B58" t="s">
        <v>8</v>
      </c>
      <c r="C58" t="s">
        <v>12</v>
      </c>
      <c r="D58" t="s">
        <v>14</v>
      </c>
      <c r="E58">
        <f t="shared" si="0"/>
        <v>3.8</v>
      </c>
      <c r="F58">
        <v>104</v>
      </c>
      <c r="G58">
        <v>300</v>
      </c>
      <c r="H58" t="s">
        <v>57</v>
      </c>
    </row>
    <row r="59" spans="1:8" x14ac:dyDescent="0.25">
      <c r="A59" t="s">
        <v>83</v>
      </c>
      <c r="B59" t="s">
        <v>8</v>
      </c>
      <c r="C59" t="s">
        <v>8</v>
      </c>
      <c r="D59" t="s">
        <v>28</v>
      </c>
      <c r="E59">
        <f t="shared" si="0"/>
        <v>4.2</v>
      </c>
      <c r="F59">
        <v>354</v>
      </c>
      <c r="G59">
        <v>800</v>
      </c>
      <c r="H59" t="s">
        <v>26</v>
      </c>
    </row>
    <row r="60" spans="1:8" x14ac:dyDescent="0.25">
      <c r="A60" t="s">
        <v>84</v>
      </c>
      <c r="B60" t="s">
        <v>12</v>
      </c>
      <c r="C60" t="s">
        <v>12</v>
      </c>
      <c r="D60" t="s">
        <v>20</v>
      </c>
      <c r="E60">
        <f t="shared" si="0"/>
        <v>3.6</v>
      </c>
      <c r="F60">
        <v>55</v>
      </c>
      <c r="G60">
        <v>200</v>
      </c>
      <c r="H60" t="s">
        <v>57</v>
      </c>
    </row>
    <row r="61" spans="1:8" x14ac:dyDescent="0.25">
      <c r="A61" t="s">
        <v>85</v>
      </c>
      <c r="B61" t="s">
        <v>8</v>
      </c>
      <c r="C61" t="s">
        <v>12</v>
      </c>
      <c r="D61" t="s">
        <v>16</v>
      </c>
      <c r="E61">
        <f t="shared" si="0"/>
        <v>3.7</v>
      </c>
      <c r="F61">
        <v>17</v>
      </c>
      <c r="G61">
        <v>400</v>
      </c>
      <c r="H61" t="s">
        <v>57</v>
      </c>
    </row>
    <row r="62" spans="1:8" x14ac:dyDescent="0.25">
      <c r="A62" t="s">
        <v>86</v>
      </c>
      <c r="B62" t="s">
        <v>12</v>
      </c>
      <c r="C62" t="s">
        <v>12</v>
      </c>
      <c r="D62" t="s">
        <v>28</v>
      </c>
      <c r="E62">
        <f t="shared" si="0"/>
        <v>4.2</v>
      </c>
      <c r="F62">
        <v>244</v>
      </c>
      <c r="G62">
        <v>800</v>
      </c>
      <c r="H62" t="s">
        <v>26</v>
      </c>
    </row>
    <row r="63" spans="1:8" x14ac:dyDescent="0.25">
      <c r="A63" t="s">
        <v>87</v>
      </c>
      <c r="B63" t="s">
        <v>8</v>
      </c>
      <c r="C63" t="s">
        <v>8</v>
      </c>
      <c r="D63" t="s">
        <v>20</v>
      </c>
      <c r="E63">
        <f t="shared" si="0"/>
        <v>3.6</v>
      </c>
      <c r="F63">
        <v>163</v>
      </c>
      <c r="G63">
        <v>800</v>
      </c>
      <c r="H63" t="s">
        <v>57</v>
      </c>
    </row>
    <row r="64" spans="1:8" x14ac:dyDescent="0.25">
      <c r="A64" t="s">
        <v>88</v>
      </c>
      <c r="B64" t="s">
        <v>8</v>
      </c>
      <c r="C64" t="s">
        <v>12</v>
      </c>
      <c r="D64" t="s">
        <v>14</v>
      </c>
      <c r="E64">
        <f t="shared" si="0"/>
        <v>3.8</v>
      </c>
      <c r="F64">
        <v>58</v>
      </c>
      <c r="G64">
        <v>150</v>
      </c>
      <c r="H64" t="s">
        <v>57</v>
      </c>
    </row>
    <row r="65" spans="1:8" x14ac:dyDescent="0.25">
      <c r="A65" t="s">
        <v>89</v>
      </c>
      <c r="B65" t="s">
        <v>12</v>
      </c>
      <c r="C65" t="s">
        <v>8</v>
      </c>
      <c r="D65" t="s">
        <v>25</v>
      </c>
      <c r="E65">
        <f t="shared" si="0"/>
        <v>4</v>
      </c>
      <c r="F65">
        <v>808</v>
      </c>
      <c r="G65">
        <v>850</v>
      </c>
      <c r="H65" t="s">
        <v>57</v>
      </c>
    </row>
    <row r="66" spans="1:8" x14ac:dyDescent="0.25">
      <c r="A66" t="s">
        <v>90</v>
      </c>
      <c r="B66" t="s">
        <v>12</v>
      </c>
      <c r="C66" t="s">
        <v>12</v>
      </c>
      <c r="D66" t="s">
        <v>16</v>
      </c>
      <c r="E66">
        <f t="shared" si="0"/>
        <v>3.7</v>
      </c>
      <c r="F66">
        <v>78</v>
      </c>
      <c r="G66">
        <v>150</v>
      </c>
      <c r="H66" t="s">
        <v>57</v>
      </c>
    </row>
    <row r="67" spans="1:8" x14ac:dyDescent="0.25">
      <c r="A67" t="s">
        <v>91</v>
      </c>
      <c r="B67" t="s">
        <v>8</v>
      </c>
      <c r="C67" t="s">
        <v>12</v>
      </c>
      <c r="D67" t="s">
        <v>9</v>
      </c>
      <c r="E67">
        <f t="shared" ref="E67:E130" si="1">VALUE(SUBSTITUTE(D67,"/5",""))</f>
        <v>4.0999999999999996</v>
      </c>
      <c r="F67">
        <v>1720</v>
      </c>
      <c r="G67">
        <v>400</v>
      </c>
      <c r="H67" t="s">
        <v>57</v>
      </c>
    </row>
    <row r="68" spans="1:8" x14ac:dyDescent="0.25">
      <c r="A68" t="s">
        <v>92</v>
      </c>
      <c r="B68" t="s">
        <v>8</v>
      </c>
      <c r="C68" t="s">
        <v>12</v>
      </c>
      <c r="D68" t="s">
        <v>20</v>
      </c>
      <c r="E68">
        <f t="shared" si="1"/>
        <v>3.6</v>
      </c>
      <c r="F68">
        <v>34</v>
      </c>
      <c r="G68">
        <v>100</v>
      </c>
      <c r="H68" t="s">
        <v>57</v>
      </c>
    </row>
    <row r="69" spans="1:8" x14ac:dyDescent="0.25">
      <c r="A69" t="s">
        <v>93</v>
      </c>
      <c r="B69" t="s">
        <v>12</v>
      </c>
      <c r="C69" t="s">
        <v>12</v>
      </c>
      <c r="D69" t="s">
        <v>9</v>
      </c>
      <c r="E69">
        <f t="shared" si="1"/>
        <v>4.0999999999999996</v>
      </c>
      <c r="F69">
        <v>868</v>
      </c>
      <c r="G69">
        <v>700</v>
      </c>
      <c r="H69" t="s">
        <v>57</v>
      </c>
    </row>
    <row r="70" spans="1:8" x14ac:dyDescent="0.25">
      <c r="A70" t="s">
        <v>94</v>
      </c>
      <c r="B70" t="s">
        <v>12</v>
      </c>
      <c r="C70" t="s">
        <v>12</v>
      </c>
      <c r="D70" t="s">
        <v>14</v>
      </c>
      <c r="E70">
        <f t="shared" si="1"/>
        <v>3.8</v>
      </c>
      <c r="F70">
        <v>39</v>
      </c>
      <c r="G70">
        <v>300</v>
      </c>
      <c r="H70" t="s">
        <v>57</v>
      </c>
    </row>
    <row r="71" spans="1:8" x14ac:dyDescent="0.25">
      <c r="A71" t="s">
        <v>95</v>
      </c>
      <c r="B71" t="s">
        <v>8</v>
      </c>
      <c r="C71" t="s">
        <v>12</v>
      </c>
      <c r="D71" t="s">
        <v>47</v>
      </c>
      <c r="E71">
        <f t="shared" si="1"/>
        <v>3.2</v>
      </c>
      <c r="F71">
        <v>71</v>
      </c>
      <c r="G71">
        <v>600</v>
      </c>
      <c r="H71" t="s">
        <v>57</v>
      </c>
    </row>
    <row r="72" spans="1:8" x14ac:dyDescent="0.25">
      <c r="A72" t="s">
        <v>96</v>
      </c>
      <c r="B72" t="s">
        <v>8</v>
      </c>
      <c r="C72" t="s">
        <v>12</v>
      </c>
      <c r="D72" t="s">
        <v>20</v>
      </c>
      <c r="E72">
        <f t="shared" si="1"/>
        <v>3.6</v>
      </c>
      <c r="F72">
        <v>6</v>
      </c>
      <c r="G72">
        <v>500</v>
      </c>
      <c r="H72" t="s">
        <v>57</v>
      </c>
    </row>
    <row r="73" spans="1:8" x14ac:dyDescent="0.25">
      <c r="A73" t="s">
        <v>97</v>
      </c>
      <c r="B73" t="s">
        <v>12</v>
      </c>
      <c r="C73" t="s">
        <v>12</v>
      </c>
      <c r="D73" t="s">
        <v>9</v>
      </c>
      <c r="E73">
        <f t="shared" si="1"/>
        <v>4.0999999999999996</v>
      </c>
      <c r="F73">
        <v>520</v>
      </c>
      <c r="G73">
        <v>300</v>
      </c>
      <c r="H73" t="s">
        <v>57</v>
      </c>
    </row>
    <row r="74" spans="1:8" x14ac:dyDescent="0.25">
      <c r="A74" t="s">
        <v>98</v>
      </c>
      <c r="B74" t="s">
        <v>12</v>
      </c>
      <c r="C74" t="s">
        <v>12</v>
      </c>
      <c r="D74" t="s">
        <v>9</v>
      </c>
      <c r="E74">
        <f t="shared" si="1"/>
        <v>4.0999999999999996</v>
      </c>
      <c r="F74">
        <v>0</v>
      </c>
      <c r="G74">
        <v>150</v>
      </c>
      <c r="H74" t="s">
        <v>57</v>
      </c>
    </row>
    <row r="75" spans="1:8" x14ac:dyDescent="0.25">
      <c r="A75" t="s">
        <v>99</v>
      </c>
      <c r="B75" t="s">
        <v>12</v>
      </c>
      <c r="C75" t="s">
        <v>12</v>
      </c>
      <c r="D75" t="s">
        <v>100</v>
      </c>
      <c r="E75">
        <f t="shared" si="1"/>
        <v>2.9</v>
      </c>
      <c r="F75">
        <v>84</v>
      </c>
      <c r="G75">
        <v>700</v>
      </c>
      <c r="H75" t="s">
        <v>26</v>
      </c>
    </row>
    <row r="76" spans="1:8" x14ac:dyDescent="0.25">
      <c r="A76" t="s">
        <v>101</v>
      </c>
      <c r="B76" t="s">
        <v>12</v>
      </c>
      <c r="C76" t="s">
        <v>12</v>
      </c>
      <c r="D76" t="s">
        <v>20</v>
      </c>
      <c r="E76">
        <f t="shared" si="1"/>
        <v>3.6</v>
      </c>
      <c r="F76">
        <v>299</v>
      </c>
      <c r="G76">
        <v>300</v>
      </c>
      <c r="H76" t="s">
        <v>57</v>
      </c>
    </row>
    <row r="77" spans="1:8" x14ac:dyDescent="0.25">
      <c r="A77" t="s">
        <v>102</v>
      </c>
      <c r="B77" t="s">
        <v>12</v>
      </c>
      <c r="C77" t="s">
        <v>12</v>
      </c>
      <c r="D77" t="s">
        <v>20</v>
      </c>
      <c r="E77">
        <f t="shared" si="1"/>
        <v>3.6</v>
      </c>
      <c r="F77">
        <v>0</v>
      </c>
      <c r="G77">
        <v>500</v>
      </c>
      <c r="H77" t="s">
        <v>57</v>
      </c>
    </row>
    <row r="78" spans="1:8" x14ac:dyDescent="0.25">
      <c r="A78" t="s">
        <v>103</v>
      </c>
      <c r="B78" t="s">
        <v>8</v>
      </c>
      <c r="C78" t="s">
        <v>12</v>
      </c>
      <c r="D78" t="s">
        <v>9</v>
      </c>
      <c r="E78">
        <f t="shared" si="1"/>
        <v>4.0999999999999996</v>
      </c>
      <c r="F78">
        <v>558</v>
      </c>
      <c r="G78">
        <v>150</v>
      </c>
      <c r="H78" t="s">
        <v>57</v>
      </c>
    </row>
    <row r="79" spans="1:8" x14ac:dyDescent="0.25">
      <c r="A79" t="s">
        <v>104</v>
      </c>
      <c r="B79" t="s">
        <v>8</v>
      </c>
      <c r="C79" t="s">
        <v>12</v>
      </c>
      <c r="D79" t="s">
        <v>20</v>
      </c>
      <c r="E79">
        <f t="shared" si="1"/>
        <v>3.6</v>
      </c>
      <c r="F79">
        <v>28</v>
      </c>
      <c r="G79">
        <v>300</v>
      </c>
      <c r="H79" t="s">
        <v>57</v>
      </c>
    </row>
    <row r="80" spans="1:8" x14ac:dyDescent="0.25">
      <c r="A80" t="s">
        <v>105</v>
      </c>
      <c r="B80" t="s">
        <v>12</v>
      </c>
      <c r="C80" t="s">
        <v>12</v>
      </c>
      <c r="D80" t="s">
        <v>16</v>
      </c>
      <c r="E80">
        <f t="shared" si="1"/>
        <v>3.7</v>
      </c>
      <c r="F80">
        <v>22</v>
      </c>
      <c r="G80">
        <v>500</v>
      </c>
      <c r="H80" t="s">
        <v>57</v>
      </c>
    </row>
    <row r="81" spans="1:8" x14ac:dyDescent="0.25">
      <c r="A81" t="s">
        <v>106</v>
      </c>
      <c r="B81" t="s">
        <v>12</v>
      </c>
      <c r="C81" t="s">
        <v>12</v>
      </c>
      <c r="D81" t="s">
        <v>14</v>
      </c>
      <c r="E81">
        <f t="shared" si="1"/>
        <v>3.8</v>
      </c>
      <c r="F81">
        <v>39</v>
      </c>
      <c r="G81">
        <v>350</v>
      </c>
      <c r="H81" t="s">
        <v>57</v>
      </c>
    </row>
    <row r="82" spans="1:8" x14ac:dyDescent="0.25">
      <c r="A82" t="s">
        <v>107</v>
      </c>
      <c r="B82" t="s">
        <v>8</v>
      </c>
      <c r="C82" t="s">
        <v>12</v>
      </c>
      <c r="D82" t="s">
        <v>14</v>
      </c>
      <c r="E82">
        <f t="shared" si="1"/>
        <v>3.8</v>
      </c>
      <c r="F82">
        <v>153</v>
      </c>
      <c r="G82">
        <v>500</v>
      </c>
      <c r="H82" t="s">
        <v>57</v>
      </c>
    </row>
    <row r="83" spans="1:8" x14ac:dyDescent="0.25">
      <c r="A83" t="s">
        <v>108</v>
      </c>
      <c r="B83" t="s">
        <v>8</v>
      </c>
      <c r="C83" t="s">
        <v>12</v>
      </c>
      <c r="D83" t="s">
        <v>28</v>
      </c>
      <c r="E83">
        <f t="shared" si="1"/>
        <v>4.2</v>
      </c>
      <c r="F83">
        <v>146</v>
      </c>
      <c r="G83">
        <v>400</v>
      </c>
      <c r="H83" t="s">
        <v>57</v>
      </c>
    </row>
    <row r="84" spans="1:8" x14ac:dyDescent="0.25">
      <c r="A84" t="s">
        <v>109</v>
      </c>
      <c r="B84" t="s">
        <v>12</v>
      </c>
      <c r="C84" t="s">
        <v>12</v>
      </c>
      <c r="D84" t="s">
        <v>110</v>
      </c>
      <c r="E84">
        <f t="shared" si="1"/>
        <v>3.5</v>
      </c>
      <c r="F84">
        <v>14</v>
      </c>
      <c r="G84">
        <v>200</v>
      </c>
      <c r="H84" t="s">
        <v>57</v>
      </c>
    </row>
    <row r="85" spans="1:8" x14ac:dyDescent="0.25">
      <c r="A85" t="s">
        <v>111</v>
      </c>
      <c r="B85" t="s">
        <v>12</v>
      </c>
      <c r="C85" t="s">
        <v>12</v>
      </c>
      <c r="D85" t="s">
        <v>14</v>
      </c>
      <c r="E85">
        <f t="shared" si="1"/>
        <v>3.8</v>
      </c>
      <c r="F85">
        <v>42</v>
      </c>
      <c r="G85">
        <v>700</v>
      </c>
      <c r="H85" t="s">
        <v>57</v>
      </c>
    </row>
    <row r="86" spans="1:8" x14ac:dyDescent="0.25">
      <c r="A86" t="s">
        <v>112</v>
      </c>
      <c r="B86" t="s">
        <v>12</v>
      </c>
      <c r="C86" t="s">
        <v>12</v>
      </c>
      <c r="D86" t="s">
        <v>14</v>
      </c>
      <c r="E86">
        <f t="shared" si="1"/>
        <v>3.8</v>
      </c>
      <c r="F86">
        <v>0</v>
      </c>
      <c r="G86">
        <v>100</v>
      </c>
      <c r="H86" t="s">
        <v>57</v>
      </c>
    </row>
    <row r="87" spans="1:8" x14ac:dyDescent="0.25">
      <c r="A87" t="s">
        <v>113</v>
      </c>
      <c r="B87" t="s">
        <v>12</v>
      </c>
      <c r="C87" t="s">
        <v>12</v>
      </c>
      <c r="D87" t="s">
        <v>25</v>
      </c>
      <c r="E87">
        <f t="shared" si="1"/>
        <v>4</v>
      </c>
      <c r="F87">
        <v>66</v>
      </c>
      <c r="G87">
        <v>300</v>
      </c>
      <c r="H87" t="s">
        <v>57</v>
      </c>
    </row>
    <row r="88" spans="1:8" x14ac:dyDescent="0.25">
      <c r="A88" t="s">
        <v>114</v>
      </c>
      <c r="B88" t="s">
        <v>8</v>
      </c>
      <c r="C88" t="s">
        <v>12</v>
      </c>
      <c r="D88" t="s">
        <v>64</v>
      </c>
      <c r="E88">
        <f t="shared" si="1"/>
        <v>4.4000000000000004</v>
      </c>
      <c r="F88">
        <v>4401</v>
      </c>
      <c r="G88">
        <v>600</v>
      </c>
      <c r="H88" t="s">
        <v>57</v>
      </c>
    </row>
    <row r="89" spans="1:8" x14ac:dyDescent="0.25">
      <c r="A89" t="s">
        <v>115</v>
      </c>
      <c r="B89" t="s">
        <v>12</v>
      </c>
      <c r="C89" t="s">
        <v>12</v>
      </c>
      <c r="D89" t="s">
        <v>110</v>
      </c>
      <c r="E89">
        <f t="shared" si="1"/>
        <v>3.5</v>
      </c>
      <c r="F89">
        <v>31</v>
      </c>
      <c r="G89">
        <v>200</v>
      </c>
      <c r="H89" t="s">
        <v>57</v>
      </c>
    </row>
    <row r="90" spans="1:8" x14ac:dyDescent="0.25">
      <c r="A90" t="s">
        <v>116</v>
      </c>
      <c r="B90" t="s">
        <v>12</v>
      </c>
      <c r="C90" t="s">
        <v>12</v>
      </c>
      <c r="D90" t="s">
        <v>110</v>
      </c>
      <c r="E90">
        <f t="shared" si="1"/>
        <v>3.5</v>
      </c>
      <c r="F90">
        <v>7</v>
      </c>
      <c r="G90">
        <v>500</v>
      </c>
      <c r="H90" t="s">
        <v>57</v>
      </c>
    </row>
    <row r="91" spans="1:8" x14ac:dyDescent="0.25">
      <c r="A91" t="s">
        <v>117</v>
      </c>
      <c r="B91" t="s">
        <v>12</v>
      </c>
      <c r="C91" t="s">
        <v>12</v>
      </c>
      <c r="D91" t="s">
        <v>16</v>
      </c>
      <c r="E91">
        <f t="shared" si="1"/>
        <v>3.7</v>
      </c>
      <c r="F91">
        <v>21</v>
      </c>
      <c r="G91">
        <v>250</v>
      </c>
      <c r="H91" t="s">
        <v>57</v>
      </c>
    </row>
    <row r="92" spans="1:8" x14ac:dyDescent="0.25">
      <c r="A92" t="s">
        <v>118</v>
      </c>
      <c r="B92" t="s">
        <v>12</v>
      </c>
      <c r="C92" t="s">
        <v>12</v>
      </c>
      <c r="D92" t="s">
        <v>16</v>
      </c>
      <c r="E92">
        <f t="shared" si="1"/>
        <v>3.7</v>
      </c>
      <c r="F92">
        <v>0</v>
      </c>
      <c r="G92">
        <v>500</v>
      </c>
      <c r="H92" t="s">
        <v>57</v>
      </c>
    </row>
    <row r="93" spans="1:8" x14ac:dyDescent="0.25">
      <c r="A93" t="s">
        <v>119</v>
      </c>
      <c r="B93" t="s">
        <v>12</v>
      </c>
      <c r="C93" t="s">
        <v>12</v>
      </c>
      <c r="D93" t="s">
        <v>16</v>
      </c>
      <c r="E93">
        <f t="shared" si="1"/>
        <v>3.7</v>
      </c>
      <c r="F93">
        <v>0</v>
      </c>
      <c r="G93">
        <v>400</v>
      </c>
      <c r="H93" t="s">
        <v>57</v>
      </c>
    </row>
    <row r="94" spans="1:8" x14ac:dyDescent="0.25">
      <c r="A94" t="s">
        <v>120</v>
      </c>
      <c r="B94" t="s">
        <v>12</v>
      </c>
      <c r="C94" t="s">
        <v>12</v>
      </c>
      <c r="D94" t="s">
        <v>16</v>
      </c>
      <c r="E94">
        <f t="shared" si="1"/>
        <v>3.7</v>
      </c>
      <c r="F94">
        <v>0</v>
      </c>
      <c r="G94">
        <v>200</v>
      </c>
      <c r="H94" t="s">
        <v>57</v>
      </c>
    </row>
    <row r="95" spans="1:8" x14ac:dyDescent="0.25">
      <c r="A95" t="s">
        <v>121</v>
      </c>
      <c r="B95" t="s">
        <v>12</v>
      </c>
      <c r="C95" t="s">
        <v>12</v>
      </c>
      <c r="D95" t="s">
        <v>47</v>
      </c>
      <c r="E95">
        <f t="shared" si="1"/>
        <v>3.2</v>
      </c>
      <c r="F95">
        <v>9</v>
      </c>
      <c r="G95">
        <v>300</v>
      </c>
      <c r="H95" t="s">
        <v>57</v>
      </c>
    </row>
    <row r="96" spans="1:8" x14ac:dyDescent="0.25">
      <c r="A96" t="s">
        <v>122</v>
      </c>
      <c r="B96" t="s">
        <v>12</v>
      </c>
      <c r="C96" t="s">
        <v>12</v>
      </c>
      <c r="D96" t="s">
        <v>123</v>
      </c>
      <c r="E96">
        <f t="shared" si="1"/>
        <v>2.6</v>
      </c>
      <c r="F96">
        <v>283</v>
      </c>
      <c r="G96">
        <v>600</v>
      </c>
      <c r="H96" t="s">
        <v>57</v>
      </c>
    </row>
    <row r="97" spans="1:8" x14ac:dyDescent="0.25">
      <c r="A97" t="s">
        <v>124</v>
      </c>
      <c r="B97" t="s">
        <v>12</v>
      </c>
      <c r="C97" t="s">
        <v>12</v>
      </c>
      <c r="D97" t="s">
        <v>50</v>
      </c>
      <c r="E97">
        <f t="shared" si="1"/>
        <v>3.3</v>
      </c>
      <c r="F97">
        <v>62</v>
      </c>
      <c r="G97">
        <v>800</v>
      </c>
      <c r="H97" t="s">
        <v>57</v>
      </c>
    </row>
    <row r="98" spans="1:8" x14ac:dyDescent="0.25">
      <c r="A98" t="s">
        <v>125</v>
      </c>
      <c r="B98" t="s">
        <v>12</v>
      </c>
      <c r="C98" t="s">
        <v>12</v>
      </c>
      <c r="D98" t="s">
        <v>14</v>
      </c>
      <c r="E98">
        <f t="shared" si="1"/>
        <v>3.8</v>
      </c>
      <c r="F98">
        <v>64</v>
      </c>
      <c r="G98">
        <v>250</v>
      </c>
      <c r="H98" t="s">
        <v>57</v>
      </c>
    </row>
    <row r="99" spans="1:8" x14ac:dyDescent="0.25">
      <c r="A99" t="s">
        <v>126</v>
      </c>
      <c r="B99" t="s">
        <v>12</v>
      </c>
      <c r="C99" t="s">
        <v>12</v>
      </c>
      <c r="D99" t="s">
        <v>16</v>
      </c>
      <c r="E99">
        <f t="shared" si="1"/>
        <v>3.7</v>
      </c>
      <c r="F99">
        <v>39</v>
      </c>
      <c r="G99">
        <v>950</v>
      </c>
      <c r="H99" t="s">
        <v>57</v>
      </c>
    </row>
    <row r="100" spans="1:8" x14ac:dyDescent="0.25">
      <c r="A100" t="s">
        <v>127</v>
      </c>
      <c r="B100" t="s">
        <v>12</v>
      </c>
      <c r="C100" t="s">
        <v>12</v>
      </c>
      <c r="D100" t="s">
        <v>16</v>
      </c>
      <c r="E100">
        <f t="shared" si="1"/>
        <v>3.7</v>
      </c>
      <c r="F100">
        <v>65</v>
      </c>
      <c r="G100">
        <v>300</v>
      </c>
      <c r="H100" t="s">
        <v>57</v>
      </c>
    </row>
    <row r="101" spans="1:8" x14ac:dyDescent="0.25">
      <c r="A101" t="s">
        <v>128</v>
      </c>
      <c r="B101" t="s">
        <v>8</v>
      </c>
      <c r="C101" t="s">
        <v>12</v>
      </c>
      <c r="D101" t="s">
        <v>14</v>
      </c>
      <c r="E101">
        <f t="shared" si="1"/>
        <v>3.8</v>
      </c>
      <c r="F101">
        <v>71</v>
      </c>
      <c r="G101">
        <v>400</v>
      </c>
      <c r="H101" t="s">
        <v>57</v>
      </c>
    </row>
    <row r="102" spans="1:8" x14ac:dyDescent="0.25">
      <c r="A102" t="s">
        <v>129</v>
      </c>
      <c r="B102" t="s">
        <v>12</v>
      </c>
      <c r="C102" t="s">
        <v>12</v>
      </c>
      <c r="D102" t="s">
        <v>110</v>
      </c>
      <c r="E102">
        <f t="shared" si="1"/>
        <v>3.5</v>
      </c>
      <c r="F102">
        <v>52</v>
      </c>
      <c r="G102">
        <v>300</v>
      </c>
      <c r="H102" t="s">
        <v>57</v>
      </c>
    </row>
    <row r="103" spans="1:8" x14ac:dyDescent="0.25">
      <c r="A103" t="s">
        <v>130</v>
      </c>
      <c r="B103" t="s">
        <v>12</v>
      </c>
      <c r="C103" t="s">
        <v>12</v>
      </c>
      <c r="D103" t="s">
        <v>16</v>
      </c>
      <c r="E103">
        <f t="shared" si="1"/>
        <v>3.7</v>
      </c>
      <c r="F103">
        <v>130</v>
      </c>
      <c r="G103">
        <v>200</v>
      </c>
      <c r="H103" t="s">
        <v>57</v>
      </c>
    </row>
    <row r="104" spans="1:8" x14ac:dyDescent="0.25">
      <c r="A104" t="s">
        <v>131</v>
      </c>
      <c r="B104" t="s">
        <v>12</v>
      </c>
      <c r="C104" t="s">
        <v>12</v>
      </c>
      <c r="D104" t="s">
        <v>110</v>
      </c>
      <c r="E104">
        <f t="shared" si="1"/>
        <v>3.5</v>
      </c>
      <c r="F104">
        <v>10</v>
      </c>
      <c r="G104">
        <v>300</v>
      </c>
      <c r="H104" t="s">
        <v>57</v>
      </c>
    </row>
    <row r="105" spans="1:8" x14ac:dyDescent="0.25">
      <c r="A105" t="s">
        <v>132</v>
      </c>
      <c r="B105" t="s">
        <v>12</v>
      </c>
      <c r="C105" t="s">
        <v>12</v>
      </c>
      <c r="D105" t="s">
        <v>133</v>
      </c>
      <c r="E105">
        <f t="shared" si="1"/>
        <v>3.8</v>
      </c>
      <c r="F105">
        <v>45</v>
      </c>
      <c r="G105">
        <v>400</v>
      </c>
      <c r="H105" t="s">
        <v>57</v>
      </c>
    </row>
    <row r="106" spans="1:8" x14ac:dyDescent="0.25">
      <c r="A106" t="s">
        <v>46</v>
      </c>
      <c r="B106" t="s">
        <v>12</v>
      </c>
      <c r="C106" t="s">
        <v>12</v>
      </c>
      <c r="D106" t="s">
        <v>47</v>
      </c>
      <c r="E106">
        <f t="shared" si="1"/>
        <v>3.2</v>
      </c>
      <c r="F106">
        <v>11</v>
      </c>
      <c r="G106">
        <v>600</v>
      </c>
      <c r="H106" t="s">
        <v>57</v>
      </c>
    </row>
    <row r="107" spans="1:8" x14ac:dyDescent="0.25">
      <c r="A107" t="s">
        <v>134</v>
      </c>
      <c r="B107" t="s">
        <v>12</v>
      </c>
      <c r="C107" t="s">
        <v>12</v>
      </c>
      <c r="D107" t="s">
        <v>110</v>
      </c>
      <c r="E107">
        <f t="shared" si="1"/>
        <v>3.5</v>
      </c>
      <c r="F107">
        <v>13</v>
      </c>
      <c r="G107">
        <v>300</v>
      </c>
      <c r="H107" t="s">
        <v>57</v>
      </c>
    </row>
    <row r="108" spans="1:8" x14ac:dyDescent="0.25">
      <c r="A108" t="s">
        <v>135</v>
      </c>
      <c r="B108" t="s">
        <v>12</v>
      </c>
      <c r="C108" t="s">
        <v>12</v>
      </c>
      <c r="D108" t="s">
        <v>136</v>
      </c>
      <c r="E108">
        <f t="shared" si="1"/>
        <v>3.4</v>
      </c>
      <c r="F108">
        <v>8</v>
      </c>
      <c r="G108">
        <v>300</v>
      </c>
      <c r="H108" t="s">
        <v>57</v>
      </c>
    </row>
    <row r="109" spans="1:8" x14ac:dyDescent="0.25">
      <c r="A109" t="s">
        <v>137</v>
      </c>
      <c r="B109" t="s">
        <v>12</v>
      </c>
      <c r="C109" t="s">
        <v>12</v>
      </c>
      <c r="D109" t="s">
        <v>136</v>
      </c>
      <c r="E109">
        <f t="shared" si="1"/>
        <v>3.4</v>
      </c>
      <c r="F109">
        <v>0</v>
      </c>
      <c r="G109">
        <v>250</v>
      </c>
      <c r="H109" t="s">
        <v>57</v>
      </c>
    </row>
    <row r="110" spans="1:8" x14ac:dyDescent="0.25">
      <c r="A110" t="s">
        <v>138</v>
      </c>
      <c r="B110" t="s">
        <v>12</v>
      </c>
      <c r="C110" t="s">
        <v>12</v>
      </c>
      <c r="D110" t="s">
        <v>47</v>
      </c>
      <c r="E110">
        <f t="shared" si="1"/>
        <v>3.2</v>
      </c>
      <c r="F110">
        <v>9</v>
      </c>
      <c r="G110">
        <v>300</v>
      </c>
      <c r="H110" t="s">
        <v>57</v>
      </c>
    </row>
    <row r="111" spans="1:8" x14ac:dyDescent="0.25">
      <c r="A111" t="s">
        <v>139</v>
      </c>
      <c r="B111" t="s">
        <v>12</v>
      </c>
      <c r="C111" t="s">
        <v>12</v>
      </c>
      <c r="D111" t="s">
        <v>47</v>
      </c>
      <c r="E111">
        <f t="shared" si="1"/>
        <v>3.2</v>
      </c>
      <c r="F111">
        <v>4</v>
      </c>
      <c r="G111">
        <v>300</v>
      </c>
      <c r="H111" t="s">
        <v>57</v>
      </c>
    </row>
    <row r="112" spans="1:8" x14ac:dyDescent="0.25">
      <c r="A112" t="s">
        <v>140</v>
      </c>
      <c r="B112" t="s">
        <v>12</v>
      </c>
      <c r="C112" t="s">
        <v>12</v>
      </c>
      <c r="D112" t="s">
        <v>47</v>
      </c>
      <c r="E112">
        <f t="shared" si="1"/>
        <v>3.2</v>
      </c>
      <c r="F112">
        <v>0</v>
      </c>
      <c r="G112">
        <v>200</v>
      </c>
      <c r="H112" t="s">
        <v>57</v>
      </c>
    </row>
    <row r="113" spans="1:8" x14ac:dyDescent="0.25">
      <c r="A113" t="s">
        <v>141</v>
      </c>
      <c r="B113" t="s">
        <v>12</v>
      </c>
      <c r="C113" t="s">
        <v>12</v>
      </c>
      <c r="D113" t="s">
        <v>39</v>
      </c>
      <c r="E113">
        <f t="shared" si="1"/>
        <v>3.1</v>
      </c>
      <c r="F113">
        <v>29</v>
      </c>
      <c r="G113">
        <v>150</v>
      </c>
      <c r="H113" t="s">
        <v>57</v>
      </c>
    </row>
    <row r="114" spans="1:8" x14ac:dyDescent="0.25">
      <c r="A114" t="s">
        <v>142</v>
      </c>
      <c r="B114" t="s">
        <v>12</v>
      </c>
      <c r="C114" t="s">
        <v>12</v>
      </c>
      <c r="D114" t="s">
        <v>136</v>
      </c>
      <c r="E114">
        <f t="shared" si="1"/>
        <v>3.4</v>
      </c>
      <c r="F114">
        <v>8</v>
      </c>
      <c r="G114">
        <v>400</v>
      </c>
      <c r="H114" t="s">
        <v>57</v>
      </c>
    </row>
    <row r="115" spans="1:8" x14ac:dyDescent="0.25">
      <c r="A115" t="s">
        <v>143</v>
      </c>
      <c r="B115" t="s">
        <v>12</v>
      </c>
      <c r="C115" t="s">
        <v>12</v>
      </c>
      <c r="D115" t="s">
        <v>136</v>
      </c>
      <c r="E115">
        <f t="shared" si="1"/>
        <v>3.4</v>
      </c>
      <c r="F115">
        <v>0</v>
      </c>
      <c r="G115">
        <v>150</v>
      </c>
      <c r="H115" t="s">
        <v>57</v>
      </c>
    </row>
    <row r="116" spans="1:8" x14ac:dyDescent="0.25">
      <c r="A116" t="s">
        <v>144</v>
      </c>
      <c r="B116" t="s">
        <v>12</v>
      </c>
      <c r="C116" t="s">
        <v>12</v>
      </c>
      <c r="D116" t="s">
        <v>136</v>
      </c>
      <c r="E116">
        <f t="shared" si="1"/>
        <v>3.4</v>
      </c>
      <c r="F116">
        <v>0</v>
      </c>
      <c r="G116">
        <v>300</v>
      </c>
      <c r="H116" t="s">
        <v>57</v>
      </c>
    </row>
    <row r="117" spans="1:8" x14ac:dyDescent="0.25">
      <c r="A117" t="s">
        <v>145</v>
      </c>
      <c r="B117" t="s">
        <v>12</v>
      </c>
      <c r="C117" t="s">
        <v>12</v>
      </c>
      <c r="D117" t="s">
        <v>136</v>
      </c>
      <c r="E117">
        <f t="shared" si="1"/>
        <v>3.4</v>
      </c>
      <c r="F117">
        <v>0</v>
      </c>
      <c r="G117">
        <v>200</v>
      </c>
      <c r="H117" t="s">
        <v>57</v>
      </c>
    </row>
    <row r="118" spans="1:8" x14ac:dyDescent="0.25">
      <c r="A118" t="s">
        <v>146</v>
      </c>
      <c r="B118" t="s">
        <v>12</v>
      </c>
      <c r="C118" t="s">
        <v>12</v>
      </c>
      <c r="D118" t="s">
        <v>136</v>
      </c>
      <c r="E118">
        <f t="shared" si="1"/>
        <v>3.4</v>
      </c>
      <c r="F118">
        <v>0</v>
      </c>
      <c r="G118">
        <v>150</v>
      </c>
      <c r="H118" t="s">
        <v>57</v>
      </c>
    </row>
    <row r="119" spans="1:8" x14ac:dyDescent="0.25">
      <c r="A119" t="s">
        <v>147</v>
      </c>
      <c r="B119" t="s">
        <v>12</v>
      </c>
      <c r="C119" t="s">
        <v>12</v>
      </c>
      <c r="D119" t="s">
        <v>136</v>
      </c>
      <c r="E119">
        <f t="shared" si="1"/>
        <v>3.4</v>
      </c>
      <c r="F119">
        <v>0</v>
      </c>
      <c r="G119">
        <v>150</v>
      </c>
      <c r="H119" t="s">
        <v>57</v>
      </c>
    </row>
    <row r="120" spans="1:8" x14ac:dyDescent="0.25">
      <c r="A120" t="s">
        <v>148</v>
      </c>
      <c r="B120" t="s">
        <v>12</v>
      </c>
      <c r="C120" t="s">
        <v>12</v>
      </c>
      <c r="D120" t="s">
        <v>136</v>
      </c>
      <c r="E120">
        <f t="shared" si="1"/>
        <v>3.4</v>
      </c>
      <c r="F120">
        <v>0</v>
      </c>
      <c r="G120">
        <v>250</v>
      </c>
      <c r="H120" t="s">
        <v>57</v>
      </c>
    </row>
    <row r="121" spans="1:8" x14ac:dyDescent="0.25">
      <c r="A121" t="s">
        <v>149</v>
      </c>
      <c r="B121" t="s">
        <v>12</v>
      </c>
      <c r="C121" t="s">
        <v>12</v>
      </c>
      <c r="D121" t="s">
        <v>39</v>
      </c>
      <c r="E121">
        <f t="shared" si="1"/>
        <v>3.1</v>
      </c>
      <c r="F121">
        <v>30</v>
      </c>
      <c r="G121">
        <v>900</v>
      </c>
      <c r="H121" t="s">
        <v>57</v>
      </c>
    </row>
    <row r="122" spans="1:8" x14ac:dyDescent="0.25">
      <c r="A122" t="s">
        <v>150</v>
      </c>
      <c r="B122" t="s">
        <v>8</v>
      </c>
      <c r="C122" t="s">
        <v>12</v>
      </c>
      <c r="D122" t="s">
        <v>9</v>
      </c>
      <c r="E122">
        <f t="shared" si="1"/>
        <v>4.0999999999999996</v>
      </c>
      <c r="F122">
        <v>201</v>
      </c>
      <c r="G122">
        <v>300</v>
      </c>
      <c r="H122" t="s">
        <v>57</v>
      </c>
    </row>
    <row r="123" spans="1:8" x14ac:dyDescent="0.25">
      <c r="A123" t="s">
        <v>151</v>
      </c>
      <c r="B123" t="s">
        <v>12</v>
      </c>
      <c r="C123" t="s">
        <v>12</v>
      </c>
      <c r="D123" t="s">
        <v>50</v>
      </c>
      <c r="E123">
        <f t="shared" si="1"/>
        <v>3.3</v>
      </c>
      <c r="F123">
        <v>7</v>
      </c>
      <c r="G123">
        <v>200</v>
      </c>
      <c r="H123" t="s">
        <v>57</v>
      </c>
    </row>
    <row r="124" spans="1:8" x14ac:dyDescent="0.25">
      <c r="A124" t="s">
        <v>152</v>
      </c>
      <c r="B124" t="s">
        <v>12</v>
      </c>
      <c r="C124" t="s">
        <v>12</v>
      </c>
      <c r="D124" t="s">
        <v>39</v>
      </c>
      <c r="E124">
        <f t="shared" si="1"/>
        <v>3.1</v>
      </c>
      <c r="F124">
        <v>6</v>
      </c>
      <c r="G124">
        <v>100</v>
      </c>
      <c r="H124" t="s">
        <v>57</v>
      </c>
    </row>
    <row r="125" spans="1:8" x14ac:dyDescent="0.25">
      <c r="A125" t="s">
        <v>153</v>
      </c>
      <c r="B125" t="s">
        <v>12</v>
      </c>
      <c r="C125" t="s">
        <v>12</v>
      </c>
      <c r="D125" t="s">
        <v>50</v>
      </c>
      <c r="E125">
        <f t="shared" si="1"/>
        <v>3.3</v>
      </c>
      <c r="F125">
        <v>17</v>
      </c>
      <c r="G125">
        <v>200</v>
      </c>
      <c r="H125" t="s">
        <v>57</v>
      </c>
    </row>
    <row r="126" spans="1:8" x14ac:dyDescent="0.25">
      <c r="A126" t="s">
        <v>154</v>
      </c>
      <c r="B126" t="s">
        <v>12</v>
      </c>
      <c r="C126" t="s">
        <v>12</v>
      </c>
      <c r="D126" t="s">
        <v>100</v>
      </c>
      <c r="E126">
        <f t="shared" si="1"/>
        <v>2.9</v>
      </c>
      <c r="F126">
        <v>25</v>
      </c>
      <c r="G126">
        <v>200</v>
      </c>
      <c r="H126" t="s">
        <v>57</v>
      </c>
    </row>
    <row r="127" spans="1:8" x14ac:dyDescent="0.25">
      <c r="A127" t="s">
        <v>155</v>
      </c>
      <c r="B127" t="s">
        <v>12</v>
      </c>
      <c r="C127" t="s">
        <v>12</v>
      </c>
      <c r="D127" t="s">
        <v>100</v>
      </c>
      <c r="E127">
        <f t="shared" si="1"/>
        <v>2.9</v>
      </c>
      <c r="F127">
        <v>0</v>
      </c>
      <c r="G127">
        <v>400</v>
      </c>
      <c r="H127" t="s">
        <v>57</v>
      </c>
    </row>
    <row r="128" spans="1:8" x14ac:dyDescent="0.25">
      <c r="A128" t="s">
        <v>156</v>
      </c>
      <c r="B128" t="s">
        <v>12</v>
      </c>
      <c r="C128" t="s">
        <v>12</v>
      </c>
      <c r="D128" t="s">
        <v>100</v>
      </c>
      <c r="E128">
        <f t="shared" si="1"/>
        <v>2.9</v>
      </c>
      <c r="F128">
        <v>0</v>
      </c>
      <c r="G128">
        <v>350</v>
      </c>
      <c r="H128" t="s">
        <v>57</v>
      </c>
    </row>
    <row r="129" spans="1:8" x14ac:dyDescent="0.25">
      <c r="A129" t="s">
        <v>157</v>
      </c>
      <c r="B129" t="s">
        <v>12</v>
      </c>
      <c r="C129" t="s">
        <v>12</v>
      </c>
      <c r="D129" t="s">
        <v>50</v>
      </c>
      <c r="E129">
        <f t="shared" si="1"/>
        <v>3.3</v>
      </c>
      <c r="F129">
        <v>8</v>
      </c>
      <c r="G129">
        <v>100</v>
      </c>
      <c r="H129" t="s">
        <v>57</v>
      </c>
    </row>
    <row r="130" spans="1:8" x14ac:dyDescent="0.25">
      <c r="A130" t="s">
        <v>158</v>
      </c>
      <c r="B130" t="s">
        <v>12</v>
      </c>
      <c r="C130" t="s">
        <v>12</v>
      </c>
      <c r="D130" t="s">
        <v>50</v>
      </c>
      <c r="E130">
        <f t="shared" si="1"/>
        <v>3.3</v>
      </c>
      <c r="F130">
        <v>0</v>
      </c>
      <c r="G130">
        <v>150</v>
      </c>
      <c r="H130" t="s">
        <v>57</v>
      </c>
    </row>
    <row r="131" spans="1:8" x14ac:dyDescent="0.25">
      <c r="A131" t="s">
        <v>159</v>
      </c>
      <c r="B131" t="s">
        <v>12</v>
      </c>
      <c r="C131" t="s">
        <v>12</v>
      </c>
      <c r="D131" t="s">
        <v>136</v>
      </c>
      <c r="E131">
        <f t="shared" ref="E131:E149" si="2">VALUE(SUBSTITUTE(D131,"/5",""))</f>
        <v>3.4</v>
      </c>
      <c r="F131">
        <v>0</v>
      </c>
      <c r="G131">
        <v>150</v>
      </c>
      <c r="H131" t="s">
        <v>57</v>
      </c>
    </row>
    <row r="132" spans="1:8" x14ac:dyDescent="0.25">
      <c r="A132" t="s">
        <v>160</v>
      </c>
      <c r="B132" t="s">
        <v>12</v>
      </c>
      <c r="C132" t="s">
        <v>12</v>
      </c>
      <c r="D132" t="s">
        <v>136</v>
      </c>
      <c r="E132">
        <f t="shared" si="2"/>
        <v>3.4</v>
      </c>
      <c r="F132">
        <v>0</v>
      </c>
      <c r="G132">
        <v>200</v>
      </c>
      <c r="H132" t="s">
        <v>57</v>
      </c>
    </row>
    <row r="133" spans="1:8" x14ac:dyDescent="0.25">
      <c r="A133" t="s">
        <v>161</v>
      </c>
      <c r="B133" t="s">
        <v>12</v>
      </c>
      <c r="C133" t="s">
        <v>12</v>
      </c>
      <c r="D133" t="s">
        <v>136</v>
      </c>
      <c r="E133">
        <f t="shared" si="2"/>
        <v>3.4</v>
      </c>
      <c r="F133">
        <v>0</v>
      </c>
      <c r="G133">
        <v>100</v>
      </c>
      <c r="H133" t="s">
        <v>57</v>
      </c>
    </row>
    <row r="134" spans="1:8" x14ac:dyDescent="0.25">
      <c r="A134" t="s">
        <v>162</v>
      </c>
      <c r="B134" t="s">
        <v>12</v>
      </c>
      <c r="C134" t="s">
        <v>12</v>
      </c>
      <c r="D134" t="s">
        <v>39</v>
      </c>
      <c r="E134">
        <f t="shared" si="2"/>
        <v>3.1</v>
      </c>
      <c r="F134">
        <v>0</v>
      </c>
      <c r="G134">
        <v>400</v>
      </c>
      <c r="H134" t="s">
        <v>57</v>
      </c>
    </row>
    <row r="135" spans="1:8" x14ac:dyDescent="0.25">
      <c r="A135" t="s">
        <v>163</v>
      </c>
      <c r="B135" t="s">
        <v>12</v>
      </c>
      <c r="C135" t="s">
        <v>12</v>
      </c>
      <c r="D135" t="s">
        <v>9</v>
      </c>
      <c r="E135">
        <f t="shared" si="2"/>
        <v>4.0999999999999996</v>
      </c>
      <c r="F135">
        <v>0</v>
      </c>
      <c r="G135">
        <v>200</v>
      </c>
      <c r="H135" t="s">
        <v>57</v>
      </c>
    </row>
    <row r="136" spans="1:8" x14ac:dyDescent="0.25">
      <c r="A136" t="s">
        <v>164</v>
      </c>
      <c r="B136" t="s">
        <v>12</v>
      </c>
      <c r="C136" t="s">
        <v>12</v>
      </c>
      <c r="D136" t="s">
        <v>50</v>
      </c>
      <c r="E136">
        <f t="shared" si="2"/>
        <v>3.3</v>
      </c>
      <c r="F136">
        <v>0</v>
      </c>
      <c r="G136">
        <v>150</v>
      </c>
      <c r="H136" t="s">
        <v>57</v>
      </c>
    </row>
    <row r="137" spans="1:8" x14ac:dyDescent="0.25">
      <c r="A137" t="s">
        <v>165</v>
      </c>
      <c r="B137" t="s">
        <v>12</v>
      </c>
      <c r="C137" t="s">
        <v>12</v>
      </c>
      <c r="D137" t="s">
        <v>39</v>
      </c>
      <c r="E137">
        <f t="shared" si="2"/>
        <v>3.1</v>
      </c>
      <c r="F137">
        <v>0</v>
      </c>
      <c r="G137">
        <v>400</v>
      </c>
      <c r="H137" t="s">
        <v>57</v>
      </c>
    </row>
    <row r="138" spans="1:8" x14ac:dyDescent="0.25">
      <c r="A138" t="s">
        <v>166</v>
      </c>
      <c r="B138" t="s">
        <v>12</v>
      </c>
      <c r="C138" t="s">
        <v>12</v>
      </c>
      <c r="D138" t="s">
        <v>50</v>
      </c>
      <c r="E138">
        <f t="shared" si="2"/>
        <v>3.3</v>
      </c>
      <c r="F138">
        <v>0</v>
      </c>
      <c r="G138">
        <v>150</v>
      </c>
      <c r="H138" t="s">
        <v>57</v>
      </c>
    </row>
    <row r="139" spans="1:8" x14ac:dyDescent="0.25">
      <c r="A139" t="s">
        <v>167</v>
      </c>
      <c r="B139" t="s">
        <v>12</v>
      </c>
      <c r="C139" t="s">
        <v>12</v>
      </c>
      <c r="D139" t="s">
        <v>100</v>
      </c>
      <c r="E139">
        <f t="shared" si="2"/>
        <v>2.9</v>
      </c>
      <c r="F139">
        <v>0</v>
      </c>
      <c r="G139">
        <v>250</v>
      </c>
      <c r="H139" t="s">
        <v>57</v>
      </c>
    </row>
    <row r="140" spans="1:8" x14ac:dyDescent="0.25">
      <c r="A140" t="s">
        <v>168</v>
      </c>
      <c r="B140" t="s">
        <v>12</v>
      </c>
      <c r="C140" t="s">
        <v>12</v>
      </c>
      <c r="D140" t="s">
        <v>100</v>
      </c>
      <c r="E140">
        <f t="shared" si="2"/>
        <v>2.9</v>
      </c>
      <c r="F140">
        <v>0</v>
      </c>
      <c r="G140">
        <v>250</v>
      </c>
      <c r="H140" t="s">
        <v>57</v>
      </c>
    </row>
    <row r="141" spans="1:8" x14ac:dyDescent="0.25">
      <c r="A141" t="s">
        <v>169</v>
      </c>
      <c r="B141" t="s">
        <v>12</v>
      </c>
      <c r="C141" t="s">
        <v>12</v>
      </c>
      <c r="D141" t="s">
        <v>100</v>
      </c>
      <c r="E141">
        <f t="shared" si="2"/>
        <v>2.9</v>
      </c>
      <c r="F141">
        <v>0</v>
      </c>
      <c r="G141">
        <v>150</v>
      </c>
      <c r="H141" t="s">
        <v>57</v>
      </c>
    </row>
    <row r="142" spans="1:8" x14ac:dyDescent="0.25">
      <c r="A142" t="s">
        <v>170</v>
      </c>
      <c r="B142" t="s">
        <v>12</v>
      </c>
      <c r="C142" t="s">
        <v>12</v>
      </c>
      <c r="D142" t="s">
        <v>50</v>
      </c>
      <c r="E142">
        <f t="shared" si="2"/>
        <v>3.3</v>
      </c>
      <c r="F142">
        <v>0</v>
      </c>
      <c r="G142">
        <v>200</v>
      </c>
      <c r="H142" t="s">
        <v>57</v>
      </c>
    </row>
    <row r="143" spans="1:8" x14ac:dyDescent="0.25">
      <c r="A143" t="s">
        <v>171</v>
      </c>
      <c r="B143" t="s">
        <v>12</v>
      </c>
      <c r="C143" t="s">
        <v>12</v>
      </c>
      <c r="D143" t="s">
        <v>50</v>
      </c>
      <c r="E143">
        <f t="shared" si="2"/>
        <v>3.3</v>
      </c>
      <c r="F143">
        <v>0</v>
      </c>
      <c r="G143">
        <v>350</v>
      </c>
      <c r="H143" t="s">
        <v>57</v>
      </c>
    </row>
    <row r="144" spans="1:8" x14ac:dyDescent="0.25">
      <c r="A144" t="s">
        <v>172</v>
      </c>
      <c r="B144" t="s">
        <v>12</v>
      </c>
      <c r="C144" t="s">
        <v>12</v>
      </c>
      <c r="D144" t="s">
        <v>50</v>
      </c>
      <c r="E144">
        <f t="shared" si="2"/>
        <v>3.3</v>
      </c>
      <c r="F144">
        <v>0</v>
      </c>
      <c r="G144">
        <v>300</v>
      </c>
      <c r="H144" t="s">
        <v>57</v>
      </c>
    </row>
    <row r="145" spans="1:8" x14ac:dyDescent="0.25">
      <c r="A145" t="s">
        <v>173</v>
      </c>
      <c r="B145" t="s">
        <v>12</v>
      </c>
      <c r="C145" t="s">
        <v>12</v>
      </c>
      <c r="D145" t="s">
        <v>50</v>
      </c>
      <c r="E145">
        <f t="shared" si="2"/>
        <v>3.3</v>
      </c>
      <c r="F145">
        <v>0</v>
      </c>
      <c r="G145">
        <v>100</v>
      </c>
      <c r="H145" t="s">
        <v>57</v>
      </c>
    </row>
    <row r="146" spans="1:8" x14ac:dyDescent="0.25">
      <c r="A146" t="s">
        <v>174</v>
      </c>
      <c r="B146" t="s">
        <v>12</v>
      </c>
      <c r="C146" t="s">
        <v>12</v>
      </c>
      <c r="D146" t="s">
        <v>50</v>
      </c>
      <c r="E146">
        <f t="shared" si="2"/>
        <v>3.3</v>
      </c>
      <c r="F146">
        <v>0</v>
      </c>
      <c r="G146">
        <v>150</v>
      </c>
      <c r="H146" t="s">
        <v>57</v>
      </c>
    </row>
    <row r="147" spans="1:8" x14ac:dyDescent="0.25">
      <c r="A147" t="s">
        <v>175</v>
      </c>
      <c r="B147" t="s">
        <v>8</v>
      </c>
      <c r="C147" t="s">
        <v>12</v>
      </c>
      <c r="D147" t="s">
        <v>25</v>
      </c>
      <c r="E147">
        <f t="shared" si="2"/>
        <v>4</v>
      </c>
      <c r="F147">
        <v>771</v>
      </c>
      <c r="G147">
        <v>450</v>
      </c>
      <c r="H147" t="s">
        <v>57</v>
      </c>
    </row>
    <row r="148" spans="1:8" x14ac:dyDescent="0.25">
      <c r="A148" t="s">
        <v>176</v>
      </c>
      <c r="B148" t="s">
        <v>12</v>
      </c>
      <c r="C148" t="s">
        <v>12</v>
      </c>
      <c r="D148" t="s">
        <v>41</v>
      </c>
      <c r="E148">
        <f t="shared" si="2"/>
        <v>3</v>
      </c>
      <c r="F148">
        <v>98</v>
      </c>
      <c r="G148">
        <v>800</v>
      </c>
      <c r="H148" t="s">
        <v>57</v>
      </c>
    </row>
    <row r="149" spans="1:8" x14ac:dyDescent="0.25">
      <c r="A149" t="s">
        <v>177</v>
      </c>
      <c r="B149" t="s">
        <v>8</v>
      </c>
      <c r="C149" t="s">
        <v>12</v>
      </c>
      <c r="D149" t="s">
        <v>35</v>
      </c>
      <c r="E149">
        <f t="shared" si="2"/>
        <v>3.9</v>
      </c>
      <c r="F149">
        <v>47</v>
      </c>
      <c r="G149">
        <v>200</v>
      </c>
      <c r="H149"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workbookViewId="0">
      <selection activeCell="B5" sqref="B5"/>
    </sheetView>
  </sheetViews>
  <sheetFormatPr defaultRowHeight="15" x14ac:dyDescent="0.25"/>
  <cols>
    <col min="1" max="1" width="13.140625" bestFit="1" customWidth="1"/>
    <col min="2" max="2" width="14.140625" bestFit="1" customWidth="1"/>
  </cols>
  <sheetData>
    <row r="2" spans="1:6" ht="18" x14ac:dyDescent="0.25">
      <c r="A2" s="1" t="s">
        <v>179</v>
      </c>
      <c r="B2" t="s">
        <v>181</v>
      </c>
      <c r="F2" s="4" t="s">
        <v>186</v>
      </c>
    </row>
    <row r="3" spans="1:6" x14ac:dyDescent="0.25">
      <c r="A3" s="2" t="s">
        <v>57</v>
      </c>
      <c r="B3" s="3">
        <v>110</v>
      </c>
    </row>
    <row r="4" spans="1:6" x14ac:dyDescent="0.25">
      <c r="A4" s="2" t="s">
        <v>23</v>
      </c>
      <c r="B4" s="3">
        <v>23</v>
      </c>
    </row>
    <row r="5" spans="1:6" x14ac:dyDescent="0.25">
      <c r="A5" s="2" t="s">
        <v>26</v>
      </c>
      <c r="B5" s="3">
        <v>8</v>
      </c>
    </row>
    <row r="6" spans="1:6" x14ac:dyDescent="0.25">
      <c r="A6" s="2" t="s">
        <v>10</v>
      </c>
      <c r="B6" s="3">
        <v>7</v>
      </c>
    </row>
    <row r="7" spans="1:6" x14ac:dyDescent="0.25">
      <c r="A7" s="2" t="s">
        <v>180</v>
      </c>
      <c r="B7" s="3">
        <v>148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B5" sqref="B5"/>
    </sheetView>
  </sheetViews>
  <sheetFormatPr defaultRowHeight="15" x14ac:dyDescent="0.25"/>
  <cols>
    <col min="1" max="1" width="13.140625" bestFit="1" customWidth="1"/>
    <col min="2" max="2" width="12.42578125" bestFit="1" customWidth="1"/>
  </cols>
  <sheetData>
    <row r="1" spans="1:5" x14ac:dyDescent="0.25">
      <c r="E1" s="5" t="s">
        <v>187</v>
      </c>
    </row>
    <row r="3" spans="1:5" x14ac:dyDescent="0.25">
      <c r="A3" s="1" t="s">
        <v>179</v>
      </c>
      <c r="B3" t="s">
        <v>182</v>
      </c>
    </row>
    <row r="4" spans="1:5" x14ac:dyDescent="0.25">
      <c r="A4" s="2" t="s">
        <v>57</v>
      </c>
      <c r="B4" s="3">
        <v>20363</v>
      </c>
    </row>
    <row r="5" spans="1:5" x14ac:dyDescent="0.25">
      <c r="A5" s="2" t="s">
        <v>26</v>
      </c>
      <c r="B5" s="3">
        <v>9367</v>
      </c>
    </row>
    <row r="6" spans="1:5" x14ac:dyDescent="0.25">
      <c r="A6" s="2" t="s">
        <v>23</v>
      </c>
      <c r="B6" s="3">
        <v>6434</v>
      </c>
    </row>
    <row r="7" spans="1:5" x14ac:dyDescent="0.25">
      <c r="A7" s="2" t="s">
        <v>10</v>
      </c>
      <c r="B7" s="3">
        <v>3028</v>
      </c>
    </row>
    <row r="8" spans="1:5" x14ac:dyDescent="0.25">
      <c r="A8" s="2" t="s">
        <v>180</v>
      </c>
      <c r="B8" s="3">
        <v>39192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A3" sqref="A3"/>
    </sheetView>
  </sheetViews>
  <sheetFormatPr defaultRowHeight="15" x14ac:dyDescent="0.25"/>
  <cols>
    <col min="1" max="1" width="13.140625" customWidth="1"/>
    <col min="2" max="2" width="14.140625" customWidth="1"/>
  </cols>
  <sheetData>
    <row r="1" spans="1:4" x14ac:dyDescent="0.25">
      <c r="D1" s="5" t="s">
        <v>188</v>
      </c>
    </row>
    <row r="3" spans="1:4" x14ac:dyDescent="0.25">
      <c r="A3" s="1" t="s">
        <v>179</v>
      </c>
      <c r="B3" t="s">
        <v>181</v>
      </c>
    </row>
    <row r="4" spans="1:4" x14ac:dyDescent="0.25">
      <c r="A4" s="2" t="s">
        <v>12</v>
      </c>
      <c r="B4" s="3">
        <v>90</v>
      </c>
    </row>
    <row r="5" spans="1:4" x14ac:dyDescent="0.25">
      <c r="A5" s="2" t="s">
        <v>8</v>
      </c>
      <c r="B5" s="3">
        <v>58</v>
      </c>
    </row>
    <row r="6" spans="1:4" x14ac:dyDescent="0.25">
      <c r="A6" s="2" t="s">
        <v>180</v>
      </c>
      <c r="B6" s="3">
        <v>148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E2" sqref="E2"/>
    </sheetView>
  </sheetViews>
  <sheetFormatPr defaultRowHeight="15" x14ac:dyDescent="0.25"/>
  <cols>
    <col min="1" max="1" width="13.140625" bestFit="1" customWidth="1"/>
    <col min="2" max="2" width="20.85546875" bestFit="1" customWidth="1"/>
  </cols>
  <sheetData>
    <row r="1" spans="1:5" x14ac:dyDescent="0.25">
      <c r="E1" s="5" t="s">
        <v>189</v>
      </c>
    </row>
    <row r="3" spans="1:5" x14ac:dyDescent="0.25">
      <c r="A3" s="1" t="s">
        <v>179</v>
      </c>
      <c r="B3" t="s">
        <v>184</v>
      </c>
    </row>
    <row r="4" spans="1:5" x14ac:dyDescent="0.25">
      <c r="A4" s="2">
        <v>2.6</v>
      </c>
      <c r="B4" s="3">
        <v>1</v>
      </c>
    </row>
    <row r="5" spans="1:5" x14ac:dyDescent="0.25">
      <c r="A5" s="2">
        <v>2.8</v>
      </c>
      <c r="B5" s="3">
        <v>2</v>
      </c>
    </row>
    <row r="6" spans="1:5" x14ac:dyDescent="0.25">
      <c r="A6" s="2">
        <v>2.9</v>
      </c>
      <c r="B6" s="3">
        <v>7</v>
      </c>
    </row>
    <row r="7" spans="1:5" x14ac:dyDescent="0.25">
      <c r="A7" s="2">
        <v>3</v>
      </c>
      <c r="B7" s="3">
        <v>2</v>
      </c>
    </row>
    <row r="8" spans="1:5" x14ac:dyDescent="0.25">
      <c r="A8" s="2">
        <v>3.1</v>
      </c>
      <c r="B8" s="3">
        <v>7</v>
      </c>
    </row>
    <row r="9" spans="1:5" x14ac:dyDescent="0.25">
      <c r="A9" s="2">
        <v>3.2</v>
      </c>
      <c r="B9" s="3">
        <v>7</v>
      </c>
    </row>
    <row r="10" spans="1:5" x14ac:dyDescent="0.25">
      <c r="A10" s="2">
        <v>3.3</v>
      </c>
      <c r="B10" s="3">
        <v>14</v>
      </c>
    </row>
    <row r="11" spans="1:5" x14ac:dyDescent="0.25">
      <c r="A11" s="2">
        <v>3.4</v>
      </c>
      <c r="B11" s="3">
        <v>12</v>
      </c>
    </row>
    <row r="12" spans="1:5" x14ac:dyDescent="0.25">
      <c r="A12" s="2">
        <v>3.5</v>
      </c>
      <c r="B12" s="3">
        <v>6</v>
      </c>
    </row>
    <row r="13" spans="1:5" x14ac:dyDescent="0.25">
      <c r="A13" s="2">
        <v>3.6</v>
      </c>
      <c r="B13" s="3">
        <v>11</v>
      </c>
    </row>
    <row r="14" spans="1:5" x14ac:dyDescent="0.25">
      <c r="A14" s="2">
        <v>3.7</v>
      </c>
      <c r="B14" s="3">
        <v>15</v>
      </c>
    </row>
    <row r="15" spans="1:5" x14ac:dyDescent="0.25">
      <c r="A15" s="2">
        <v>3.8</v>
      </c>
      <c r="B15" s="3">
        <v>20</v>
      </c>
    </row>
    <row r="16" spans="1:5" x14ac:dyDescent="0.25">
      <c r="A16" s="2">
        <v>3.9</v>
      </c>
      <c r="B16" s="3">
        <v>10</v>
      </c>
    </row>
    <row r="17" spans="1:2" x14ac:dyDescent="0.25">
      <c r="A17" s="2">
        <v>4</v>
      </c>
      <c r="B17" s="3">
        <v>10</v>
      </c>
    </row>
    <row r="18" spans="1:2" x14ac:dyDescent="0.25">
      <c r="A18" s="2">
        <v>4.0999999999999996</v>
      </c>
      <c r="B18" s="3">
        <v>11</v>
      </c>
    </row>
    <row r="19" spans="1:2" x14ac:dyDescent="0.25">
      <c r="A19" s="2">
        <v>4.2</v>
      </c>
      <c r="B19" s="3">
        <v>8</v>
      </c>
    </row>
    <row r="20" spans="1:2" x14ac:dyDescent="0.25">
      <c r="A20" s="2">
        <v>4.3</v>
      </c>
      <c r="B20" s="3">
        <v>1</v>
      </c>
    </row>
    <row r="21" spans="1:2" x14ac:dyDescent="0.25">
      <c r="A21" s="2">
        <v>4.4000000000000004</v>
      </c>
      <c r="B21" s="3">
        <v>2</v>
      </c>
    </row>
    <row r="22" spans="1:2" x14ac:dyDescent="0.25">
      <c r="A22" s="2">
        <v>4.5999999999999996</v>
      </c>
      <c r="B22" s="3">
        <v>2</v>
      </c>
    </row>
    <row r="23" spans="1:2" x14ac:dyDescent="0.25">
      <c r="A23" s="2" t="s">
        <v>180</v>
      </c>
      <c r="B23" s="3">
        <v>148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D2" sqref="D2"/>
    </sheetView>
  </sheetViews>
  <sheetFormatPr defaultRowHeight="15" x14ac:dyDescent="0.25"/>
  <cols>
    <col min="1" max="1" width="13.140625" customWidth="1"/>
    <col min="2" max="2" width="35.140625" bestFit="1" customWidth="1"/>
  </cols>
  <sheetData>
    <row r="1" spans="1:6" x14ac:dyDescent="0.25">
      <c r="D1" s="5" t="s">
        <v>190</v>
      </c>
      <c r="F1" s="5"/>
    </row>
    <row r="3" spans="1:6" x14ac:dyDescent="0.25">
      <c r="A3" s="1" t="s">
        <v>179</v>
      </c>
      <c r="B3" t="s">
        <v>185</v>
      </c>
    </row>
    <row r="4" spans="1:6" x14ac:dyDescent="0.25">
      <c r="A4" s="2">
        <v>300</v>
      </c>
      <c r="B4" s="3">
        <v>23</v>
      </c>
    </row>
    <row r="5" spans="1:6" x14ac:dyDescent="0.25">
      <c r="A5" s="2">
        <v>200</v>
      </c>
      <c r="B5" s="3">
        <v>16</v>
      </c>
    </row>
    <row r="6" spans="1:6" x14ac:dyDescent="0.25">
      <c r="A6" s="2">
        <v>150</v>
      </c>
      <c r="B6" s="3">
        <v>16</v>
      </c>
    </row>
    <row r="7" spans="1:6" x14ac:dyDescent="0.25">
      <c r="A7" s="2">
        <v>400</v>
      </c>
      <c r="B7" s="3">
        <v>15</v>
      </c>
    </row>
    <row r="8" spans="1:6" x14ac:dyDescent="0.25">
      <c r="A8" s="2">
        <v>500</v>
      </c>
      <c r="B8" s="3">
        <v>14</v>
      </c>
    </row>
    <row r="9" spans="1:6" x14ac:dyDescent="0.25">
      <c r="A9" s="2">
        <v>600</v>
      </c>
      <c r="B9" s="3">
        <v>13</v>
      </c>
    </row>
    <row r="10" spans="1:6" x14ac:dyDescent="0.25">
      <c r="A10" s="2">
        <v>800</v>
      </c>
      <c r="B10" s="3">
        <v>12</v>
      </c>
    </row>
    <row r="11" spans="1:6" x14ac:dyDescent="0.25">
      <c r="A11" s="2">
        <v>100</v>
      </c>
      <c r="B11" s="3">
        <v>6</v>
      </c>
    </row>
    <row r="12" spans="1:6" x14ac:dyDescent="0.25">
      <c r="A12" s="2">
        <v>450</v>
      </c>
      <c r="B12" s="3">
        <v>6</v>
      </c>
    </row>
    <row r="13" spans="1:6" x14ac:dyDescent="0.25">
      <c r="A13" s="2">
        <v>250</v>
      </c>
      <c r="B13" s="3">
        <v>6</v>
      </c>
    </row>
    <row r="14" spans="1:6" x14ac:dyDescent="0.25">
      <c r="A14" s="2">
        <v>700</v>
      </c>
      <c r="B14" s="3">
        <v>5</v>
      </c>
    </row>
    <row r="15" spans="1:6" x14ac:dyDescent="0.25">
      <c r="A15" s="2">
        <v>550</v>
      </c>
      <c r="B15" s="3">
        <v>3</v>
      </c>
    </row>
    <row r="16" spans="1:6" x14ac:dyDescent="0.25">
      <c r="A16" s="2">
        <v>750</v>
      </c>
      <c r="B16" s="3">
        <v>3</v>
      </c>
    </row>
    <row r="17" spans="1:2" x14ac:dyDescent="0.25">
      <c r="A17" s="2">
        <v>350</v>
      </c>
      <c r="B17" s="3">
        <v>3</v>
      </c>
    </row>
    <row r="18" spans="1:2" x14ac:dyDescent="0.25">
      <c r="A18" s="2">
        <v>850</v>
      </c>
      <c r="B18" s="3">
        <v>2</v>
      </c>
    </row>
    <row r="19" spans="1:2" x14ac:dyDescent="0.25">
      <c r="A19" s="2">
        <v>900</v>
      </c>
      <c r="B19" s="3">
        <v>2</v>
      </c>
    </row>
    <row r="20" spans="1:2" x14ac:dyDescent="0.25">
      <c r="A20" s="2">
        <v>650</v>
      </c>
      <c r="B20" s="3">
        <v>2</v>
      </c>
    </row>
    <row r="21" spans="1:2" x14ac:dyDescent="0.25">
      <c r="A21" s="2">
        <v>950</v>
      </c>
      <c r="B21" s="3">
        <v>1</v>
      </c>
    </row>
    <row r="22" spans="1:2" x14ac:dyDescent="0.25">
      <c r="A22" s="2" t="s">
        <v>180</v>
      </c>
      <c r="B22" s="3">
        <v>148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4" sqref="B4"/>
    </sheetView>
  </sheetViews>
  <sheetFormatPr defaultRowHeight="15" x14ac:dyDescent="0.25"/>
  <cols>
    <col min="1" max="1" width="13.140625" bestFit="1" customWidth="1"/>
    <col min="2" max="2" width="23" bestFit="1" customWidth="1"/>
  </cols>
  <sheetData>
    <row r="1" spans="1:5" x14ac:dyDescent="0.25">
      <c r="E1" s="5" t="s">
        <v>191</v>
      </c>
    </row>
    <row r="3" spans="1:5" x14ac:dyDescent="0.25">
      <c r="A3" s="1" t="s">
        <v>179</v>
      </c>
      <c r="B3" t="s">
        <v>183</v>
      </c>
    </row>
    <row r="4" spans="1:5" x14ac:dyDescent="0.25">
      <c r="A4" s="2" t="s">
        <v>12</v>
      </c>
      <c r="B4" s="7">
        <v>3.4877777777777776</v>
      </c>
    </row>
    <row r="5" spans="1:5" x14ac:dyDescent="0.25">
      <c r="A5" s="2" t="s">
        <v>8</v>
      </c>
      <c r="B5" s="7">
        <v>3.8586206896551718</v>
      </c>
    </row>
    <row r="6" spans="1:5" x14ac:dyDescent="0.25">
      <c r="A6" s="2" t="s">
        <v>180</v>
      </c>
      <c r="B6" s="7">
        <v>3.6331081081081091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B5" sqref="B5"/>
    </sheetView>
  </sheetViews>
  <sheetFormatPr defaultRowHeight="15" x14ac:dyDescent="0.25"/>
  <cols>
    <col min="1" max="1" width="13.140625" bestFit="1" customWidth="1"/>
    <col min="2" max="2" width="14.140625" customWidth="1"/>
    <col min="3" max="3" width="14.140625" bestFit="1" customWidth="1"/>
  </cols>
  <sheetData>
    <row r="1" spans="1:5" x14ac:dyDescent="0.25">
      <c r="A1" s="1" t="s">
        <v>1</v>
      </c>
      <c r="B1" t="s">
        <v>8</v>
      </c>
      <c r="E1" s="5" t="s">
        <v>192</v>
      </c>
    </row>
    <row r="3" spans="1:5" x14ac:dyDescent="0.25">
      <c r="A3" s="1" t="s">
        <v>179</v>
      </c>
      <c r="B3" t="s">
        <v>181</v>
      </c>
    </row>
    <row r="4" spans="1:5" x14ac:dyDescent="0.25">
      <c r="A4" s="2" t="s">
        <v>57</v>
      </c>
      <c r="B4" s="3">
        <v>33</v>
      </c>
    </row>
    <row r="5" spans="1:5" x14ac:dyDescent="0.25">
      <c r="A5" s="2" t="s">
        <v>23</v>
      </c>
      <c r="B5" s="3">
        <v>15</v>
      </c>
    </row>
    <row r="6" spans="1:5" x14ac:dyDescent="0.25">
      <c r="A6" s="2" t="s">
        <v>26</v>
      </c>
      <c r="B6" s="3">
        <v>6</v>
      </c>
    </row>
    <row r="7" spans="1:5" x14ac:dyDescent="0.25">
      <c r="A7" s="2" t="s">
        <v>10</v>
      </c>
      <c r="B7" s="3">
        <v>4</v>
      </c>
    </row>
    <row r="8" spans="1:5" x14ac:dyDescent="0.25">
      <c r="A8" s="2" t="s">
        <v>180</v>
      </c>
      <c r="B8" s="3">
        <v>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B5" sqref="B5"/>
    </sheetView>
  </sheetViews>
  <sheetFormatPr defaultRowHeight="15" x14ac:dyDescent="0.25"/>
  <cols>
    <col min="1" max="1" width="17.5703125" customWidth="1"/>
    <col min="2" max="2" width="12.42578125" bestFit="1" customWidth="1"/>
  </cols>
  <sheetData>
    <row r="1" spans="1:5" x14ac:dyDescent="0.25">
      <c r="E1" s="5" t="s">
        <v>193</v>
      </c>
    </row>
    <row r="3" spans="1:5" x14ac:dyDescent="0.25">
      <c r="A3" s="1" t="s">
        <v>179</v>
      </c>
      <c r="B3" t="s">
        <v>182</v>
      </c>
    </row>
    <row r="4" spans="1:5" x14ac:dyDescent="0.25">
      <c r="A4" s="2" t="s">
        <v>13</v>
      </c>
      <c r="B4" s="3">
        <v>1836</v>
      </c>
    </row>
    <row r="5" spans="1:5" x14ac:dyDescent="0.25">
      <c r="A5" s="2" t="s">
        <v>114</v>
      </c>
      <c r="B5" s="3">
        <v>4401</v>
      </c>
    </row>
    <row r="6" spans="1:5" x14ac:dyDescent="0.25">
      <c r="A6" s="2" t="s">
        <v>63</v>
      </c>
      <c r="B6" s="3">
        <v>4884</v>
      </c>
    </row>
    <row r="7" spans="1:5" x14ac:dyDescent="0.25">
      <c r="A7" s="2" t="s">
        <v>21</v>
      </c>
      <c r="B7" s="3">
        <v>5112</v>
      </c>
    </row>
    <row r="8" spans="1:5" x14ac:dyDescent="0.25">
      <c r="A8" s="2" t="s">
        <v>180</v>
      </c>
      <c r="B8" s="3">
        <v>16233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B4" sqref="B4"/>
    </sheetView>
  </sheetViews>
  <sheetFormatPr defaultRowHeight="15" x14ac:dyDescent="0.25"/>
  <cols>
    <col min="1" max="1" width="13.140625" bestFit="1" customWidth="1"/>
    <col min="2" max="2" width="12.42578125" bestFit="1" customWidth="1"/>
  </cols>
  <sheetData>
    <row r="1" spans="1:5" x14ac:dyDescent="0.25">
      <c r="E1" s="5" t="s">
        <v>194</v>
      </c>
    </row>
    <row r="3" spans="1:5" x14ac:dyDescent="0.25">
      <c r="A3" s="1" t="s">
        <v>179</v>
      </c>
      <c r="B3" t="s">
        <v>182</v>
      </c>
    </row>
    <row r="4" spans="1:5" x14ac:dyDescent="0.25">
      <c r="A4" s="2" t="s">
        <v>57</v>
      </c>
      <c r="B4" s="3">
        <v>20363</v>
      </c>
    </row>
    <row r="5" spans="1:5" x14ac:dyDescent="0.25">
      <c r="A5" s="2" t="s">
        <v>26</v>
      </c>
      <c r="B5" s="3">
        <v>9367</v>
      </c>
    </row>
    <row r="6" spans="1:5" x14ac:dyDescent="0.25">
      <c r="A6" s="2" t="s">
        <v>23</v>
      </c>
      <c r="B6" s="3">
        <v>6434</v>
      </c>
    </row>
    <row r="7" spans="1:5" x14ac:dyDescent="0.25">
      <c r="A7" s="2" t="s">
        <v>10</v>
      </c>
      <c r="B7" s="3">
        <v>3028</v>
      </c>
    </row>
    <row r="8" spans="1:5" x14ac:dyDescent="0.25">
      <c r="A8" s="2" t="s">
        <v>180</v>
      </c>
      <c r="B8" s="3">
        <v>39192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tabSelected="1" zoomScale="70" zoomScaleNormal="70" workbookViewId="0">
      <selection activeCell="A3" sqref="A3:P3"/>
    </sheetView>
  </sheetViews>
  <sheetFormatPr defaultRowHeight="15" x14ac:dyDescent="0.25"/>
  <cols>
    <col min="1" max="1" width="9.140625" style="6" customWidth="1"/>
    <col min="2" max="16384" width="9.140625" style="6"/>
  </cols>
  <sheetData>
    <row r="1" spans="1:16" x14ac:dyDescent="0.25">
      <c r="A1" s="10" t="s">
        <v>200</v>
      </c>
      <c r="B1" s="11"/>
      <c r="C1" s="11"/>
      <c r="D1" s="11"/>
      <c r="E1" s="11"/>
      <c r="F1" s="11"/>
      <c r="G1" s="11"/>
      <c r="H1" s="11"/>
      <c r="I1" s="11"/>
      <c r="J1" s="11"/>
      <c r="K1" s="11"/>
      <c r="L1" s="11"/>
      <c r="M1" s="11"/>
      <c r="N1" s="11"/>
      <c r="O1" s="11"/>
      <c r="P1" s="11"/>
    </row>
    <row r="2" spans="1:16" x14ac:dyDescent="0.25">
      <c r="A2" s="11"/>
      <c r="B2" s="11"/>
      <c r="C2" s="11"/>
      <c r="D2" s="11"/>
      <c r="E2" s="11"/>
      <c r="F2" s="11"/>
      <c r="G2" s="11"/>
      <c r="H2" s="11"/>
      <c r="I2" s="11"/>
      <c r="J2" s="11"/>
      <c r="K2" s="11"/>
      <c r="L2" s="11"/>
      <c r="M2" s="11"/>
      <c r="N2" s="11"/>
      <c r="O2" s="11"/>
      <c r="P2" s="11"/>
    </row>
    <row r="3" spans="1:16" x14ac:dyDescent="0.25">
      <c r="A3" s="12" t="s">
        <v>195</v>
      </c>
      <c r="B3" s="12"/>
      <c r="C3" s="12"/>
      <c r="D3" s="12"/>
      <c r="E3" s="12"/>
      <c r="F3" s="12"/>
      <c r="G3" s="12"/>
      <c r="H3" s="12"/>
      <c r="I3" s="12"/>
      <c r="J3" s="12"/>
      <c r="K3" s="12"/>
      <c r="L3" s="12"/>
      <c r="M3" s="12"/>
      <c r="N3" s="12"/>
      <c r="O3" s="12"/>
      <c r="P3" s="12"/>
    </row>
    <row r="4" spans="1:16" x14ac:dyDescent="0.25">
      <c r="A4" s="13"/>
      <c r="B4" s="13"/>
      <c r="C4" s="13"/>
      <c r="D4" s="13"/>
      <c r="E4" s="13"/>
      <c r="F4" s="13"/>
      <c r="G4" s="13"/>
      <c r="H4" s="13"/>
      <c r="I4" s="13"/>
      <c r="J4" s="13"/>
      <c r="K4" s="13"/>
      <c r="L4" s="13"/>
      <c r="M4" s="13"/>
      <c r="N4" s="13"/>
      <c r="O4" s="13"/>
      <c r="P4" s="13"/>
    </row>
    <row r="5" spans="1:16" x14ac:dyDescent="0.25">
      <c r="A5" s="14" t="s">
        <v>197</v>
      </c>
      <c r="B5" s="14"/>
      <c r="C5" s="14"/>
      <c r="D5" s="14"/>
      <c r="E5" s="15" t="s">
        <v>198</v>
      </c>
      <c r="F5" s="15"/>
      <c r="G5" s="15"/>
      <c r="H5" s="15"/>
      <c r="I5" s="8" t="s">
        <v>199</v>
      </c>
      <c r="J5" s="8"/>
      <c r="K5" s="8"/>
      <c r="L5" s="8"/>
      <c r="M5" s="9" t="s">
        <v>196</v>
      </c>
      <c r="N5" s="9"/>
      <c r="O5" s="9"/>
      <c r="P5" s="9"/>
    </row>
    <row r="6" spans="1:16" x14ac:dyDescent="0.25">
      <c r="A6" s="14"/>
      <c r="B6" s="14"/>
      <c r="C6" s="14"/>
      <c r="D6" s="14"/>
      <c r="E6" s="15"/>
      <c r="F6" s="15"/>
      <c r="G6" s="15"/>
      <c r="H6" s="15"/>
      <c r="I6" s="8"/>
      <c r="J6" s="8"/>
      <c r="K6" s="8"/>
      <c r="L6" s="8"/>
      <c r="M6" s="9"/>
      <c r="N6" s="9"/>
      <c r="O6" s="9"/>
      <c r="P6" s="9"/>
    </row>
    <row r="7" spans="1:16" x14ac:dyDescent="0.25">
      <c r="A7" s="14"/>
      <c r="B7" s="14"/>
      <c r="C7" s="14"/>
      <c r="D7" s="14"/>
      <c r="E7" s="15"/>
      <c r="F7" s="15"/>
      <c r="G7" s="15"/>
      <c r="H7" s="15"/>
      <c r="I7" s="8"/>
      <c r="J7" s="8"/>
      <c r="K7" s="8"/>
      <c r="L7" s="8"/>
      <c r="M7" s="9"/>
      <c r="N7" s="9"/>
      <c r="O7" s="9"/>
      <c r="P7" s="9"/>
    </row>
  </sheetData>
  <mergeCells count="7">
    <mergeCell ref="I5:L7"/>
    <mergeCell ref="M5:P7"/>
    <mergeCell ref="A1:P2"/>
    <mergeCell ref="A3:P3"/>
    <mergeCell ref="A4:P4"/>
    <mergeCell ref="A5:D7"/>
    <mergeCell ref="E5: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Zomato_cleaned_excel</vt:lpstr>
      <vt:lpstr>Q1 Restaurant Types</vt:lpstr>
      <vt:lpstr>Q2 Votes_By_Type</vt:lpstr>
      <vt:lpstr>Q3_Online_vs_Offline</vt:lpstr>
      <vt:lpstr>Q4_Rating_Distribution</vt:lpstr>
      <vt:lpstr>Q5_Price_Range</vt:lpstr>
      <vt:lpstr>Q6 Avg_Rating</vt:lpstr>
      <vt:lpstr>Q7 More_Online_Orders</vt:lpstr>
      <vt:lpstr>Q8 Top_10_Restaurants</vt:lpstr>
      <vt:lpstr>Q9 Customer_Engagement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2026-09-19T08:07:20Z</dcterms:created>
  <dcterms:modified xsi:type="dcterms:W3CDTF">2026-09-29T19:19:24Z</dcterms:modified>
</cp:coreProperties>
</file>